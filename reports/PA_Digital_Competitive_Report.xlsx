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2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16.xml.rels" ContentType="application/vnd.openxmlformats-package.relationships+xml"/>
  <Override PartName="/xl/drawings/_rels/drawing15.xml.rels" ContentType="application/vnd.openxmlformats-package.relationships+xml"/>
  <Override PartName="/xl/drawings/_rels/drawing14.xml.rels" ContentType="application/vnd.openxmlformats-package.relationships+xml"/>
  <Override PartName="/xl/drawings/_rels/drawing1.xml.rels" ContentType="application/vnd.openxmlformats-package.relationships+xml"/>
  <Override PartName="/xl/drawings/_rels/drawing19.xml.rels" ContentType="application/vnd.openxmlformats-package.relationships+xml"/>
  <Override PartName="/xl/drawings/_rels/drawing21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22.xml.rels" ContentType="application/vnd.openxmlformats-package.relationships+xml"/>
  <Override PartName="/xl/drawings/_rels/drawing6.xml.rels" ContentType="application/vnd.openxmlformats-package.relationships+xml"/>
  <Override PartName="/xl/drawings/_rels/drawing23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8.xml.rels" ContentType="application/vnd.openxmlformats-package.relationships+xml"/>
  <Override PartName="/xl/drawings/_rels/drawing20.xml.rels" ContentType="application/vnd.openxmlformats-package.relationships+xml"/>
  <Override PartName="/xl/drawings/_rels/drawing3.xml.rels" ContentType="application/vnd.openxmlformats-package.relationships+xml"/>
  <Override PartName="/xl/drawings/_rels/drawing12.xml.rels" ContentType="application/vnd.openxmlformats-package.relationships+xml"/>
  <Override PartName="/xl/drawings/_rels/drawing24.xml.rels" ContentType="application/vnd.openxmlformats-package.relationships+xml"/>
  <Override PartName="/xl/drawings/_rels/drawing7.xml.rels" ContentType="application/vnd.openxmlformats-package.relationships+xml"/>
  <Override PartName="/xl/drawings/_rels/drawing17.xml.rels" ContentType="application/vnd.openxmlformats-package.relationships+xml"/>
  <Override PartName="/xl/drawings/_rels/drawing11.xml.rels" ContentType="application/vnd.openxmlformats-package.relationships+xml"/>
  <Override PartName="/xl/drawings/_rels/drawing2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D-13" sheetId="2" state="visible" r:id="rId4"/>
    <sheet name="HD-16" sheetId="3" state="visible" r:id="rId5"/>
    <sheet name="HD-18" sheetId="4" state="visible" r:id="rId6"/>
    <sheet name="HD-28" sheetId="5" state="visible" r:id="rId7"/>
    <sheet name="HD-41" sheetId="6" state="visible" r:id="rId8"/>
    <sheet name="HD-44" sheetId="7" state="visible" r:id="rId9"/>
    <sheet name="HD-46" sheetId="8" state="visible" r:id="rId10"/>
    <sheet name="HD-72" sheetId="9" state="visible" r:id="rId11"/>
    <sheet name="HD-88" sheetId="10" state="visible" r:id="rId12"/>
    <sheet name="HD-118" sheetId="11" state="visible" r:id="rId13"/>
    <sheet name="HD-121" sheetId="12" state="visible" r:id="rId14"/>
    <sheet name="HD-137" sheetId="13" state="visible" r:id="rId15"/>
    <sheet name="HD-142" sheetId="14" state="visible" r:id="rId16"/>
    <sheet name="HD-143" sheetId="15" state="visible" r:id="rId17"/>
    <sheet name="HD-144" sheetId="16" state="visible" r:id="rId18"/>
    <sheet name="HD-147" sheetId="17" state="visible" r:id="rId19"/>
    <sheet name="HD-160" sheetId="18" state="visible" r:id="rId20"/>
    <sheet name="HD-170" sheetId="19" state="visible" r:id="rId21"/>
    <sheet name="HD-187" sheetId="20" state="visible" r:id="rId22"/>
    <sheet name="SD-6" sheetId="21" state="visible" r:id="rId23"/>
    <sheet name="SD-16" sheetId="22" state="visible" r:id="rId24"/>
    <sheet name="SD-24" sheetId="23" state="visible" r:id="rId25"/>
    <sheet name="SD-40" sheetId="24" state="visible" r:id="rId26"/>
  </sheets>
  <definedNames>
    <definedName function="false" hidden="false" localSheetId="10" name="_xlnm.Print_Titles" vbProcedure="false">'HD-118'!$1:$3</definedName>
    <definedName function="false" hidden="false" localSheetId="11" name="_xlnm.Print_Titles" vbProcedure="false">'HD-121'!$1:$3</definedName>
    <definedName function="false" hidden="false" localSheetId="1" name="_xlnm.Print_Titles" vbProcedure="false">'HD-13'!$1:$3</definedName>
    <definedName function="false" hidden="false" localSheetId="12" name="_xlnm.Print_Titles" vbProcedure="false">'HD-137'!$1:$3</definedName>
    <definedName function="false" hidden="false" localSheetId="13" name="_xlnm.Print_Titles" vbProcedure="false">'HD-142'!$1:$3</definedName>
    <definedName function="false" hidden="false" localSheetId="14" name="_xlnm.Print_Titles" vbProcedure="false">'HD-143'!$1:$3</definedName>
    <definedName function="false" hidden="false" localSheetId="15" name="_xlnm.Print_Titles" vbProcedure="false">'HD-144'!$1:$3</definedName>
    <definedName function="false" hidden="false" localSheetId="16" name="_xlnm.Print_Titles" vbProcedure="false">'HD-147'!$1:$3</definedName>
    <definedName function="false" hidden="false" localSheetId="2" name="_xlnm.Print_Titles" vbProcedure="false">'HD-16'!$1:$3</definedName>
    <definedName function="false" hidden="false" localSheetId="17" name="_xlnm.Print_Titles" vbProcedure="false">'HD-160'!$1:$3</definedName>
    <definedName function="false" hidden="false" localSheetId="18" name="_xlnm.Print_Titles" vbProcedure="false">'HD-170'!$1:$3</definedName>
    <definedName function="false" hidden="false" localSheetId="3" name="_xlnm.Print_Titles" vbProcedure="false">'HD-18'!$1:$3</definedName>
    <definedName function="false" hidden="false" localSheetId="19" name="_xlnm.Print_Titles" vbProcedure="false">'HD-187'!$1:$3</definedName>
    <definedName function="false" hidden="false" localSheetId="4" name="_xlnm.Print_Titles" vbProcedure="false">'HD-28'!$1:$3</definedName>
    <definedName function="false" hidden="false" localSheetId="5" name="_xlnm.Print_Titles" vbProcedure="false">'HD-41'!$1:$3</definedName>
    <definedName function="false" hidden="false" localSheetId="6" name="_xlnm.Print_Titles" vbProcedure="false">'HD-44'!$1:$3</definedName>
    <definedName function="false" hidden="false" localSheetId="7" name="_xlnm.Print_Titles" vbProcedure="false">'HD-46'!$1:$3</definedName>
    <definedName function="false" hidden="false" localSheetId="8" name="_xlnm.Print_Titles" vbProcedure="false">'HD-72'!$1:$3</definedName>
    <definedName function="false" hidden="false" localSheetId="9" name="_xlnm.Print_Titles" vbProcedure="false">'HD-88'!$1:$3</definedName>
    <definedName function="false" hidden="false" localSheetId="21" name="_xlnm.Print_Titles" vbProcedure="false">'SD-16'!$1:$3</definedName>
    <definedName function="false" hidden="false" localSheetId="22" name="_xlnm.Print_Titles" vbProcedure="false">'SD-24'!$1:$3</definedName>
    <definedName function="false" hidden="false" localSheetId="23" name="_xlnm.Print_Titles" vbProcedure="false">'SD-40'!$1:$3</definedName>
    <definedName function="false" hidden="false" localSheetId="20" name="_xlnm.Print_Titles" vbProcedure="false">'SD-6'!$1:$3</definedName>
    <definedName function="false" hidden="false" localSheetId="0" name="_xlnm.Print_Titles" vbProcedure="false">Summary!$1:$3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<sst xmlns="http://schemas.openxmlformats.org/spreadsheetml/2006/main" count="942" uniqueCount="127">
  <si>
    <t xml:space="preserve">PA DIGITAL COMPETITIVE REPORT</t>
  </si>
  <si>
    <t xml:space="preserve">RACE</t>
  </si>
  <si>
    <t xml:space="preserve">PLATFORM</t>
  </si>
  <si>
    <t xml:space="preserve">TOTAL SPEND</t>
  </si>
  <si>
    <t xml:space="preserve">GOP TOTAL</t>
  </si>
  <si>
    <t xml:space="preserve">DEM TOTAL</t>
  </si>
  <si>
    <t xml:space="preserve">DELTA (DEM-GOP)</t>
  </si>
  <si>
    <t xml:space="preserve">State House District 13</t>
  </si>
  <si>
    <t xml:space="preserve">CTV</t>
  </si>
  <si>
    <t xml:space="preserve">Google</t>
  </si>
  <si>
    <t xml:space="preserve">Facebook</t>
  </si>
  <si>
    <t xml:space="preserve">SUBTOTAL</t>
  </si>
  <si>
    <t xml:space="preserve">State House District 16</t>
  </si>
  <si>
    <t xml:space="preserve">State House District 18</t>
  </si>
  <si>
    <t xml:space="preserve">State House District 28</t>
  </si>
  <si>
    <t xml:space="preserve">State House District 41</t>
  </si>
  <si>
    <t xml:space="preserve">State House District 44</t>
  </si>
  <si>
    <t xml:space="preserve">State House District 46</t>
  </si>
  <si>
    <t xml:space="preserve">State House District 72</t>
  </si>
  <si>
    <t xml:space="preserve">State House District 88</t>
  </si>
  <si>
    <t xml:space="preserve">State House District 118</t>
  </si>
  <si>
    <t xml:space="preserve">State House District 121</t>
  </si>
  <si>
    <t xml:space="preserve">State House District 137</t>
  </si>
  <si>
    <t xml:space="preserve">State House District 142</t>
  </si>
  <si>
    <t xml:space="preserve">State House District 143</t>
  </si>
  <si>
    <t xml:space="preserve">State House District 144</t>
  </si>
  <si>
    <t xml:space="preserve">State House District 147</t>
  </si>
  <si>
    <t xml:space="preserve">State House District 160</t>
  </si>
  <si>
    <t xml:space="preserve">State House District 170</t>
  </si>
  <si>
    <t xml:space="preserve">State House District 187</t>
  </si>
  <si>
    <t xml:space="preserve">State Senate District 6</t>
  </si>
  <si>
    <t xml:space="preserve">State Senate District 16</t>
  </si>
  <si>
    <t xml:space="preserve">State Senate District 24</t>
  </si>
  <si>
    <t xml:space="preserve">State Senate District 40</t>
  </si>
  <si>
    <t xml:space="preserve">TOTAL — ALL RACES</t>
  </si>
  <si>
    <t xml:space="preserve">Report prepared by GPS Impact  |  Confidential</t>
  </si>
  <si>
    <t xml:space="preserve">HD-13</t>
  </si>
  <si>
    <t xml:space="preserve">CANDIDATE / COMMITTEE</t>
  </si>
  <si>
    <t xml:space="preserve">PARTY</t>
  </si>
  <si>
    <t xml:space="preserve">05/26/2026</t>
  </si>
  <si>
    <t xml:space="preserve">06/02/2026</t>
  </si>
  <si>
    <t xml:space="preserve">06/09/2026</t>
  </si>
  <si>
    <t xml:space="preserve">06/16/2026</t>
  </si>
  <si>
    <t xml:space="preserve">06/23/2026</t>
  </si>
  <si>
    <t xml:space="preserve">06/30/2026</t>
  </si>
  <si>
    <t xml:space="preserve">07/07/2026</t>
  </si>
  <si>
    <t xml:space="preserve">07/14/2026</t>
  </si>
  <si>
    <t xml:space="preserve">07/21/2026</t>
  </si>
  <si>
    <t xml:space="preserve">07/28/2026</t>
  </si>
  <si>
    <t xml:space="preserve">08/04/2026</t>
  </si>
  <si>
    <t xml:space="preserve">RSLC</t>
  </si>
  <si>
    <t xml:space="preserve">R</t>
  </si>
  <si>
    <t xml:space="preserve">RSLC Total</t>
  </si>
  <si>
    <t xml:space="preserve">REPUBLICAN PARTY TOTAL</t>
  </si>
  <si>
    <t xml:space="preserve">GRAND TOTAL</t>
  </si>
  <si>
    <t xml:space="preserve">HD-16</t>
  </si>
  <si>
    <t xml:space="preserve">ROB MATZIE STATE HOUSE</t>
  </si>
  <si>
    <t xml:space="preserve">D</t>
  </si>
  <si>
    <t xml:space="preserve">ROB MATZIE STATE HOUSE Total</t>
  </si>
  <si>
    <t xml:space="preserve">COMMONWEALTH MAJORITY</t>
  </si>
  <si>
    <t xml:space="preserve">COMMONWEALTH MAJORITY Total</t>
  </si>
  <si>
    <t xml:space="preserve">DEMOCRAT PARTY TOTAL</t>
  </si>
  <si>
    <t xml:space="preserve">HD-18</t>
  </si>
  <si>
    <t xml:space="preserve">BETTER PA</t>
  </si>
  <si>
    <t xml:space="preserve">BETTER PA Total</t>
  </si>
  <si>
    <t xml:space="preserve">HD-28</t>
  </si>
  <si>
    <t xml:space="preserve">HD-41</t>
  </si>
  <si>
    <t xml:space="preserve">HD-44</t>
  </si>
  <si>
    <t xml:space="preserve">HADLEY HAAS STATE HOUSE</t>
  </si>
  <si>
    <t xml:space="preserve">HADLEY HAAS STATE HOUSE Total</t>
  </si>
  <si>
    <t xml:space="preserve">FAIR DEMOCRACY</t>
  </si>
  <si>
    <t xml:space="preserve">FAIR DEMOCRACY Total</t>
  </si>
  <si>
    <t xml:space="preserve">HD-46</t>
  </si>
  <si>
    <t xml:space="preserve">JASON ORTITAY STATE HOUSE</t>
  </si>
  <si>
    <t xml:space="preserve">JASON ORTITAY STATE HOUSE Total</t>
  </si>
  <si>
    <t xml:space="preserve">HD-72</t>
  </si>
  <si>
    <t xml:space="preserve">CITIZENS ALLIANCE PA</t>
  </si>
  <si>
    <t xml:space="preserve">CITIZENS ALLIANCE PA Total</t>
  </si>
  <si>
    <t xml:space="preserve">FRANK BURNS STATE HOUSE</t>
  </si>
  <si>
    <t xml:space="preserve">FRANK BURNS STATE HOUSE Total</t>
  </si>
  <si>
    <t xml:space="preserve">NEA</t>
  </si>
  <si>
    <t xml:space="preserve">NEA Total</t>
  </si>
  <si>
    <t xml:space="preserve">HD-88</t>
  </si>
  <si>
    <t xml:space="preserve">SARA AGERTON STATE HOUSE</t>
  </si>
  <si>
    <t xml:space="preserve">SARA AGERTON STATE HOUSE Total</t>
  </si>
  <si>
    <t xml:space="preserve">HD-118</t>
  </si>
  <si>
    <t xml:space="preserve">JIM HADDOCK STATE HOUSE</t>
  </si>
  <si>
    <t xml:space="preserve">JIM HADDOCK STATE HOUSE Total</t>
  </si>
  <si>
    <t xml:space="preserve">HD-121</t>
  </si>
  <si>
    <t xml:space="preserve">JESSICA MCCLAY STATE HOUSE</t>
  </si>
  <si>
    <t xml:space="preserve">JESSICA MCCLAY STATE HOUSE Total</t>
  </si>
  <si>
    <t xml:space="preserve">HD-137</t>
  </si>
  <si>
    <t xml:space="preserve">JOE EMRICK STATE HOUSE</t>
  </si>
  <si>
    <t xml:space="preserve">JOE EMRICK STATE HOUSE Total</t>
  </si>
  <si>
    <t xml:space="preserve">HD-142</t>
  </si>
  <si>
    <t xml:space="preserve">KRISTIN EGAN STATE HOUSE</t>
  </si>
  <si>
    <t xml:space="preserve">KRISTIN EGAN STATE HOUSE Total</t>
  </si>
  <si>
    <t xml:space="preserve">HD-143</t>
  </si>
  <si>
    <t xml:space="preserve">HD-144</t>
  </si>
  <si>
    <t xml:space="preserve">BRIAN MUNROE STATE HOUSE</t>
  </si>
  <si>
    <t xml:space="preserve">BRIAN MUNROE STATE HOUSE Total</t>
  </si>
  <si>
    <t xml:space="preserve">PA HDCC</t>
  </si>
  <si>
    <t xml:space="preserve">PA HDCC Total</t>
  </si>
  <si>
    <t xml:space="preserve">HD-147</t>
  </si>
  <si>
    <t xml:space="preserve">HD-160</t>
  </si>
  <si>
    <t xml:space="preserve">CRAIG WILLIAMS STATE HOUSE</t>
  </si>
  <si>
    <t xml:space="preserve">CRAIG WILLIAMS STATE HOUSE Total</t>
  </si>
  <si>
    <t xml:space="preserve">HD-170</t>
  </si>
  <si>
    <t xml:space="preserve">MARTINA WHITE STATE HOUSE</t>
  </si>
  <si>
    <t xml:space="preserve">MARTINA WHITE STATE HOUSE Total</t>
  </si>
  <si>
    <t xml:space="preserve">HD-187</t>
  </si>
  <si>
    <t xml:space="preserve">SD-6</t>
  </si>
  <si>
    <t xml:space="preserve">FRANK FARRY STATE SENATE</t>
  </si>
  <si>
    <t xml:space="preserve">FRANK FARRY STATE SENATE Total</t>
  </si>
  <si>
    <t xml:space="preserve">SD-16</t>
  </si>
  <si>
    <t xml:space="preserve">JARRETT COLEMAN STATE SENATE</t>
  </si>
  <si>
    <t xml:space="preserve">JARRETT COLEMAN STATE SENATE Total</t>
  </si>
  <si>
    <t xml:space="preserve">SD-24</t>
  </si>
  <si>
    <t xml:space="preserve">TRACY PENNYCUICK STATE SENATE</t>
  </si>
  <si>
    <t xml:space="preserve">TRACY PENNYCUICK STATE SENATE Total</t>
  </si>
  <si>
    <t xml:space="preserve">PA SRCC</t>
  </si>
  <si>
    <t xml:space="preserve">PA SRCC Total</t>
  </si>
  <si>
    <t xml:space="preserve">CHRIS THOMAS STATE SENATE</t>
  </si>
  <si>
    <t xml:space="preserve">CHRIS THOMAS STATE SENATE Total</t>
  </si>
  <si>
    <t xml:space="preserve">SD-40</t>
  </si>
  <si>
    <t xml:space="preserve">ROSEMARY BROWN STATE SENATE</t>
  </si>
  <si>
    <t xml:space="preserve">ROSEMARY BROWN STATE SENATE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</si>
</sst>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-$&quot;#,##0;&quot;&quot;"/>
    <numFmt numFmtId="166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uperior Title"/>
      <family val="0"/>
      <charset val="1"/>
    </font>
    <font>
      <b val="true"/>
      <sz val="9"/>
      <color rgb="FFFFFFFF"/>
      <name val="Figtree"/>
      <family val="0"/>
      <charset val="1"/>
    </font>
    <font>
      <b val="true"/>
      <sz val="9"/>
      <color rgb="FF323B51"/>
      <name val="Figtree"/>
      <family val="0"/>
      <charset val="1"/>
    </font>
    <font>
      <sz val="9"/>
      <color rgb="FF323B51"/>
      <name val="Figtree"/>
      <family val="0"/>
      <charset val="1"/>
    </font>
    <font>
      <b val="true"/>
      <sz val="10"/>
      <color rgb="FFFFFFFF"/>
      <name val="Figtree"/>
      <family val="0"/>
      <charset val="1"/>
    </font>
    <font>
      <sz val="8"/>
      <color rgb="FF6B7280"/>
      <name val="Figtree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323B51"/>
        <bgColor rgb="FF333399"/>
      </patternFill>
    </fill>
    <fill>
      <patternFill patternType="solid">
        <fgColor rgb="FFB4C6D5"/>
        <bgColor rgb="FF99CCFF"/>
      </patternFill>
    </fill>
    <fill>
      <patternFill patternType="solid">
        <fgColor rgb="FFFCEFED"/>
        <bgColor rgb="FFECF0F4"/>
      </patternFill>
    </fill>
    <fill>
      <patternFill patternType="solid">
        <fgColor rgb="FFF2C1BB"/>
        <bgColor rgb="FFD9D9D9"/>
      </patternFill>
    </fill>
    <fill>
      <patternFill patternType="solid">
        <fgColor rgb="FFDE5E4E"/>
        <bgColor rgb="FFFF8080"/>
      </patternFill>
    </fill>
    <fill>
      <patternFill patternType="solid">
        <fgColor rgb="FFECF0F4"/>
        <bgColor rgb="FFFCEFED"/>
      </patternFill>
    </fill>
    <fill>
      <patternFill patternType="solid">
        <fgColor rgb="FF3D6A91"/>
        <bgColor rgb="FF6B72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D5"/>
      <rgbColor rgb="FF808080"/>
      <rgbColor rgb="FF9999FF"/>
      <rgbColor rgb="FF993366"/>
      <rgbColor rgb="FFFCEFED"/>
      <rgbColor rgb="FFECF0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1BB"/>
      <rgbColor rgb="FF3D6A91"/>
      <rgbColor rgb="FF33CCCC"/>
      <rgbColor rgb="FF99CC00"/>
      <rgbColor rgb="FFFFCC00"/>
      <rgbColor rgb="FFFF9900"/>
      <rgbColor rgb="FFDE5E4E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3B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660960</xdr:colOff>
      <xdr:row>0</xdr:row>
      <xdr:rowOff>139680</xdr:rowOff>
    </xdr:from>
    <xdr:to>
      <xdr:col>5</xdr:col>
      <xdr:colOff>568080</xdr:colOff>
      <xdr:row>1</xdr:row>
      <xdr:rowOff>91440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546156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16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17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18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19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20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21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22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842040</xdr:colOff>
      <xdr:row>0</xdr:row>
      <xdr:rowOff>139680</xdr:rowOff>
    </xdr:from>
    <xdr:to>
      <xdr:col>14</xdr:col>
      <xdr:colOff>37800</xdr:colOff>
      <xdr:row>1</xdr:row>
      <xdr:rowOff>91440</xdr:rowOff>
    </xdr:to>
    <xdr:pic>
      <xdr:nvPicPr>
        <xdr:cNvPr id="23" name="Image 1" descr="Picture"/>
        <xdr:cNvPicPr/>
      </xdr:nvPicPr>
      <xdr:blipFill>
        <a:blip r:embed="rId1"/>
        <a:stretch/>
      </xdr:blipFill>
      <xdr:spPr>
        <a:xfrm>
          <a:off x="14621400" y="139680"/>
          <a:ext cx="23961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est_v5.xlsx" TargetMode="External"/><Relationship Id="rId2" Type="http://schemas.openxmlformats.org/officeDocument/2006/relationships/hyperlink" Target="test_v5.xlsx" TargetMode="External"/><Relationship Id="rId3" Type="http://schemas.openxmlformats.org/officeDocument/2006/relationships/hyperlink" Target="test_v5.xlsx" TargetMode="External"/><Relationship Id="rId4" Type="http://schemas.openxmlformats.org/officeDocument/2006/relationships/hyperlink" Target="test_v5.xlsx" TargetMode="External"/><Relationship Id="rId5" Type="http://schemas.openxmlformats.org/officeDocument/2006/relationships/hyperlink" Target="test_v5.xlsx" TargetMode="External"/><Relationship Id="rId6" Type="http://schemas.openxmlformats.org/officeDocument/2006/relationships/hyperlink" Target="test_v5.xlsx" TargetMode="External"/><Relationship Id="rId7" Type="http://schemas.openxmlformats.org/officeDocument/2006/relationships/hyperlink" Target="test_v5.xlsx" TargetMode="External"/><Relationship Id="rId8" Type="http://schemas.openxmlformats.org/officeDocument/2006/relationships/hyperlink" Target="test_v5.xlsx" TargetMode="External"/><Relationship Id="rId9" Type="http://schemas.openxmlformats.org/officeDocument/2006/relationships/hyperlink" Target="test_v5.xlsx" TargetMode="External"/><Relationship Id="rId10" Type="http://schemas.openxmlformats.org/officeDocument/2006/relationships/hyperlink" Target="test_v5.xlsx" TargetMode="External"/><Relationship Id="rId11" Type="http://schemas.openxmlformats.org/officeDocument/2006/relationships/hyperlink" Target="test_v5.xlsx" TargetMode="External"/><Relationship Id="rId12" Type="http://schemas.openxmlformats.org/officeDocument/2006/relationships/hyperlink" Target="test_v5.xlsx" TargetMode="External"/><Relationship Id="rId13" Type="http://schemas.openxmlformats.org/officeDocument/2006/relationships/hyperlink" Target="test_v5.xlsx" TargetMode="External"/><Relationship Id="rId14" Type="http://schemas.openxmlformats.org/officeDocument/2006/relationships/hyperlink" Target="test_v5.xlsx" TargetMode="External"/><Relationship Id="rId15" Type="http://schemas.openxmlformats.org/officeDocument/2006/relationships/hyperlink" Target="test_v5.xlsx" TargetMode="External"/><Relationship Id="rId16" Type="http://schemas.openxmlformats.org/officeDocument/2006/relationships/hyperlink" Target="test_v5.xlsx" TargetMode="External"/><Relationship Id="rId17" Type="http://schemas.openxmlformats.org/officeDocument/2006/relationships/hyperlink" Target="test_v5.xlsx" TargetMode="External"/><Relationship Id="rId18" Type="http://schemas.openxmlformats.org/officeDocument/2006/relationships/hyperlink" Target="test_v5.xlsx" TargetMode="External"/><Relationship Id="rId19" Type="http://schemas.openxmlformats.org/officeDocument/2006/relationships/hyperlink" Target="test_v5.xlsx" TargetMode="External"/><Relationship Id="rId20" Type="http://schemas.openxmlformats.org/officeDocument/2006/relationships/hyperlink" Target="test_v5.xlsx" TargetMode="External"/><Relationship Id="rId21" Type="http://schemas.openxmlformats.org/officeDocument/2006/relationships/hyperlink" Target="test_v5.xlsx" TargetMode="External"/><Relationship Id="rId22" Type="http://schemas.openxmlformats.org/officeDocument/2006/relationships/hyperlink" Target="test_v5.xlsx" TargetMode="External"/><Relationship Id="rId23" Type="http://schemas.openxmlformats.org/officeDocument/2006/relationships/hyperlink" Target="test_v5.xlsx" TargetMode="External"/><Relationship Id="rId24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</row>
    <row r="3" customFormat="false" ht="24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true" outlineLevel="0" collapsed="false">
      <c r="A4" s="3" t="s">
        <v>7</v>
      </c>
      <c r="B4" s="4" t="s">
        <v>8</v>
      </c>
      <c r="C4" s="5" t="n">
        <f aca="false">SUMIFS('HD-13'!D$4:D$10,'HD-13'!$C$4:$C$10,"CTV")</f>
        <v>0</v>
      </c>
      <c r="D4" s="5" t="n">
        <f aca="false">SUMIFS('HD-13'!D$4:D$10,'HD-13'!$C$4:$C$10,"CTV",'HD-13'!$B$4:$B$10,"R")</f>
        <v>0</v>
      </c>
      <c r="E4" s="5" t="n">
        <f aca="false">SUMIFS('HD-13'!D$4:D$10,'HD-13'!$C$4:$C$10,"CTV",'HD-13'!$B$4:$B$10,"D")</f>
        <v>0</v>
      </c>
      <c r="F4" s="5" t="n">
        <f aca="false">E4-D4</f>
        <v>0</v>
      </c>
    </row>
    <row r="5" customFormat="false" ht="15" hidden="false" customHeight="false" outlineLevel="0" collapsed="false">
      <c r="A5" s="3"/>
      <c r="B5" s="4" t="s">
        <v>9</v>
      </c>
      <c r="C5" s="5" t="n">
        <f aca="false">SUMIFS('HD-13'!D$4:D$10,'HD-13'!$C$4:$C$10,"Google")</f>
        <v>7415.48</v>
      </c>
      <c r="D5" s="5" t="n">
        <f aca="false">SUMIFS('HD-13'!D$4:D$10,'HD-13'!$C$4:$C$10,"Google",'HD-13'!$B$4:$B$10,"R")</f>
        <v>7415.48</v>
      </c>
      <c r="E5" s="5" t="n">
        <f aca="false">SUMIFS('HD-13'!D$4:D$10,'HD-13'!$C$4:$C$10,"Google",'HD-13'!$B$4:$B$10,"D")</f>
        <v>0</v>
      </c>
      <c r="F5" s="5" t="n">
        <f aca="false">E5-D5</f>
        <v>-7415.48</v>
      </c>
    </row>
    <row r="6" customFormat="false" ht="15" hidden="false" customHeight="false" outlineLevel="0" collapsed="false">
      <c r="A6" s="3"/>
      <c r="B6" s="4" t="s">
        <v>10</v>
      </c>
      <c r="C6" s="5" t="n">
        <f aca="false">SUMIFS('HD-13'!D$4:D$10,'HD-13'!$C$4:$C$10,"Facebook")</f>
        <v>954.09</v>
      </c>
      <c r="D6" s="5" t="n">
        <f aca="false">SUMIFS('HD-13'!D$4:D$10,'HD-13'!$C$4:$C$10,"Facebook",'HD-13'!$B$4:$B$10,"R")</f>
        <v>954.09</v>
      </c>
      <c r="E6" s="5" t="n">
        <f aca="false">SUMIFS('HD-13'!D$4:D$10,'HD-13'!$C$4:$C$10,"Facebook",'HD-13'!$B$4:$B$10,"D")</f>
        <v>0</v>
      </c>
      <c r="F6" s="5" t="n">
        <f aca="false">E6-D6</f>
        <v>-954.09</v>
      </c>
    </row>
    <row r="7" customFormat="false" ht="15" hidden="false" customHeight="false" outlineLevel="0" collapsed="false">
      <c r="A7" s="3"/>
      <c r="B7" s="6" t="s">
        <v>11</v>
      </c>
      <c r="C7" s="7" t="n">
        <f aca="false">'HD-13'!D10</f>
        <v>8369.57</v>
      </c>
      <c r="D7" s="7" t="n">
        <f aca="false">'HD-13'!D8</f>
        <v>8369.57</v>
      </c>
      <c r="E7" s="7" t="n">
        <f aca="false">0</f>
        <v>0</v>
      </c>
      <c r="F7" s="7" t="n">
        <f aca="false">E7-D7</f>
        <v>-8369.57</v>
      </c>
    </row>
    <row r="9" customFormat="false" ht="15" hidden="false" customHeight="true" outlineLevel="0" collapsed="false">
      <c r="A9" s="3" t="s">
        <v>12</v>
      </c>
      <c r="B9" s="4" t="s">
        <v>8</v>
      </c>
      <c r="C9" s="5" t="n">
        <f aca="false">SUMIFS('HD-16'!D$4:D$12,'HD-16'!$C$4:$C$12,"CTV")</f>
        <v>510.91</v>
      </c>
      <c r="D9" s="5" t="n">
        <f aca="false">SUMIFS('HD-16'!D$4:D$12,'HD-16'!$C$4:$C$12,"CTV",'HD-16'!$B$4:$B$12,"R")</f>
        <v>0</v>
      </c>
      <c r="E9" s="5" t="n">
        <f aca="false">SUMIFS('HD-16'!D$4:D$12,'HD-16'!$C$4:$C$12,"CTV",'HD-16'!$B$4:$B$12,"D")</f>
        <v>510.91</v>
      </c>
      <c r="F9" s="5" t="n">
        <f aca="false">E9-D9</f>
        <v>510.91</v>
      </c>
    </row>
    <row r="10" customFormat="false" ht="15" hidden="false" customHeight="false" outlineLevel="0" collapsed="false">
      <c r="A10" s="3"/>
      <c r="B10" s="4" t="s">
        <v>9</v>
      </c>
      <c r="C10" s="5" t="n">
        <f aca="false">SUMIFS('HD-16'!D$4:D$12,'HD-16'!$C$4:$C$12,"Google")</f>
        <v>0</v>
      </c>
      <c r="D10" s="5" t="n">
        <f aca="false">SUMIFS('HD-16'!D$4:D$12,'HD-16'!$C$4:$C$12,"Google",'HD-16'!$B$4:$B$12,"R")</f>
        <v>0</v>
      </c>
      <c r="E10" s="5" t="n">
        <f aca="false">SUMIFS('HD-16'!D$4:D$12,'HD-16'!$C$4:$C$12,"Google",'HD-16'!$B$4:$B$12,"D")</f>
        <v>0</v>
      </c>
      <c r="F10" s="5" t="n">
        <f aca="false">E10-D10</f>
        <v>0</v>
      </c>
    </row>
    <row r="11" customFormat="false" ht="15" hidden="false" customHeight="false" outlineLevel="0" collapsed="false">
      <c r="A11" s="3"/>
      <c r="B11" s="4" t="s">
        <v>10</v>
      </c>
      <c r="C11" s="5" t="n">
        <f aca="false">SUMIFS('HD-16'!D$4:D$12,'HD-16'!$C$4:$C$12,"Facebook")</f>
        <v>1685.02</v>
      </c>
      <c r="D11" s="5" t="n">
        <f aca="false">SUMIFS('HD-16'!D$4:D$12,'HD-16'!$C$4:$C$12,"Facebook",'HD-16'!$B$4:$B$12,"R")</f>
        <v>0</v>
      </c>
      <c r="E11" s="5" t="n">
        <f aca="false">SUMIFS('HD-16'!D$4:D$12,'HD-16'!$C$4:$C$12,"Facebook",'HD-16'!$B$4:$B$12,"D")</f>
        <v>1685.02</v>
      </c>
      <c r="F11" s="5" t="n">
        <f aca="false">E11-D11</f>
        <v>1685.02</v>
      </c>
    </row>
    <row r="12" customFormat="false" ht="15" hidden="false" customHeight="false" outlineLevel="0" collapsed="false">
      <c r="A12" s="3"/>
      <c r="B12" s="6" t="s">
        <v>11</v>
      </c>
      <c r="C12" s="7" t="n">
        <f aca="false">'HD-16'!D12</f>
        <v>2195.93</v>
      </c>
      <c r="D12" s="7" t="n">
        <f aca="false">0</f>
        <v>0</v>
      </c>
      <c r="E12" s="7" t="n">
        <f aca="false">'HD-16'!D10</f>
        <v>2195.93</v>
      </c>
      <c r="F12" s="7" t="n">
        <f aca="false">E12-D12</f>
        <v>2195.93</v>
      </c>
    </row>
    <row r="14" customFormat="false" ht="15" hidden="false" customHeight="true" outlineLevel="0" collapsed="false">
      <c r="A14" s="3" t="s">
        <v>13</v>
      </c>
      <c r="B14" s="4" t="s">
        <v>8</v>
      </c>
      <c r="C14" s="5" t="n">
        <f aca="false">SUMIFS('HD-18'!D$4:D$17,'HD-18'!$C$4:$C$17,"CTV")</f>
        <v>291.25</v>
      </c>
      <c r="D14" s="5" t="n">
        <f aca="false">SUMIFS('HD-18'!D$4:D$17,'HD-18'!$C$4:$C$17,"CTV",'HD-18'!$B$4:$B$17,"R")</f>
        <v>0</v>
      </c>
      <c r="E14" s="5" t="n">
        <f aca="false">SUMIFS('HD-18'!D$4:D$17,'HD-18'!$C$4:$C$17,"CTV",'HD-18'!$B$4:$B$17,"D")</f>
        <v>291.25</v>
      </c>
      <c r="F14" s="5" t="n">
        <f aca="false">E14-D14</f>
        <v>291.25</v>
      </c>
    </row>
    <row r="15" customFormat="false" ht="15" hidden="false" customHeight="false" outlineLevel="0" collapsed="false">
      <c r="A15" s="3"/>
      <c r="B15" s="4" t="s">
        <v>9</v>
      </c>
      <c r="C15" s="5" t="n">
        <f aca="false">SUMIFS('HD-18'!D$4:D$17,'HD-18'!$C$4:$C$17,"Google")</f>
        <v>8812.82</v>
      </c>
      <c r="D15" s="5" t="n">
        <f aca="false">SUMIFS('HD-18'!D$4:D$17,'HD-18'!$C$4:$C$17,"Google",'HD-18'!$B$4:$B$17,"R")</f>
        <v>7791.26</v>
      </c>
      <c r="E15" s="5" t="n">
        <f aca="false">SUMIFS('HD-18'!D$4:D$17,'HD-18'!$C$4:$C$17,"Google",'HD-18'!$B$4:$B$17,"D")</f>
        <v>1021.56</v>
      </c>
      <c r="F15" s="5" t="n">
        <f aca="false">E15-D15</f>
        <v>-6769.7</v>
      </c>
    </row>
    <row r="16" customFormat="false" ht="15" hidden="false" customHeight="false" outlineLevel="0" collapsed="false">
      <c r="A16" s="3"/>
      <c r="B16" s="4" t="s">
        <v>10</v>
      </c>
      <c r="C16" s="5" t="n">
        <f aca="false">SUMIFS('HD-18'!D$4:D$17,'HD-18'!$C$4:$C$17,"Facebook")</f>
        <v>2895.61</v>
      </c>
      <c r="D16" s="5" t="n">
        <f aca="false">SUMIFS('HD-18'!D$4:D$17,'HD-18'!$C$4:$C$17,"Facebook",'HD-18'!$B$4:$B$17,"R")</f>
        <v>955.43</v>
      </c>
      <c r="E16" s="5" t="n">
        <f aca="false">SUMIFS('HD-18'!D$4:D$17,'HD-18'!$C$4:$C$17,"Facebook",'HD-18'!$B$4:$B$17,"D")</f>
        <v>1940.18</v>
      </c>
      <c r="F16" s="5" t="n">
        <f aca="false">E16-D16</f>
        <v>984.75</v>
      </c>
    </row>
    <row r="17" customFormat="false" ht="15" hidden="false" customHeight="false" outlineLevel="0" collapsed="false">
      <c r="A17" s="3"/>
      <c r="B17" s="6" t="s">
        <v>11</v>
      </c>
      <c r="C17" s="7" t="n">
        <f aca="false">'HD-18'!D17</f>
        <v>11999.68</v>
      </c>
      <c r="D17" s="7" t="n">
        <f aca="false">'HD-18'!D8</f>
        <v>8746.69</v>
      </c>
      <c r="E17" s="7" t="n">
        <f aca="false">'HD-18'!D15</f>
        <v>3252.99</v>
      </c>
      <c r="F17" s="7" t="n">
        <f aca="false">E17-D17</f>
        <v>-5493.7</v>
      </c>
    </row>
    <row r="19" customFormat="false" ht="15" hidden="false" customHeight="true" outlineLevel="0" collapsed="false">
      <c r="A19" s="3" t="s">
        <v>14</v>
      </c>
      <c r="B19" s="4" t="s">
        <v>8</v>
      </c>
      <c r="C19" s="5" t="n">
        <f aca="false">SUMIFS('HD-28'!D$4:D$10,'HD-28'!$C$4:$C$10,"CTV")</f>
        <v>0</v>
      </c>
      <c r="D19" s="5" t="n">
        <f aca="false">SUMIFS('HD-28'!D$4:D$10,'HD-28'!$C$4:$C$10,"CTV",'HD-28'!$B$4:$B$10,"R")</f>
        <v>0</v>
      </c>
      <c r="E19" s="5" t="n">
        <f aca="false">SUMIFS('HD-28'!D$4:D$10,'HD-28'!$C$4:$C$10,"CTV",'HD-28'!$B$4:$B$10,"D")</f>
        <v>0</v>
      </c>
      <c r="F19" s="5" t="n">
        <f aca="false">E19-D19</f>
        <v>0</v>
      </c>
    </row>
    <row r="20" customFormat="false" ht="15" hidden="false" customHeight="false" outlineLevel="0" collapsed="false">
      <c r="A20" s="3"/>
      <c r="B20" s="4" t="s">
        <v>9</v>
      </c>
      <c r="C20" s="5" t="n">
        <f aca="false">SUMIFS('HD-28'!D$4:D$10,'HD-28'!$C$4:$C$10,"Google")</f>
        <v>9958.28</v>
      </c>
      <c r="D20" s="5" t="n">
        <f aca="false">SUMIFS('HD-28'!D$4:D$10,'HD-28'!$C$4:$C$10,"Google",'HD-28'!$B$4:$B$10,"R")</f>
        <v>9958.28</v>
      </c>
      <c r="E20" s="5" t="n">
        <f aca="false">SUMIFS('HD-28'!D$4:D$10,'HD-28'!$C$4:$C$10,"Google",'HD-28'!$B$4:$B$10,"D")</f>
        <v>0</v>
      </c>
      <c r="F20" s="5" t="n">
        <f aca="false">E20-D20</f>
        <v>-9958.28</v>
      </c>
    </row>
    <row r="21" customFormat="false" ht="15" hidden="false" customHeight="false" outlineLevel="0" collapsed="false">
      <c r="A21" s="3"/>
      <c r="B21" s="4" t="s">
        <v>10</v>
      </c>
      <c r="C21" s="5" t="n">
        <f aca="false">SUMIFS('HD-28'!D$4:D$10,'HD-28'!$C$4:$C$10,"Facebook")</f>
        <v>1908.57</v>
      </c>
      <c r="D21" s="5" t="n">
        <f aca="false">SUMIFS('HD-28'!D$4:D$10,'HD-28'!$C$4:$C$10,"Facebook",'HD-28'!$B$4:$B$10,"R")</f>
        <v>1908.57</v>
      </c>
      <c r="E21" s="5" t="n">
        <f aca="false">SUMIFS('HD-28'!D$4:D$10,'HD-28'!$C$4:$C$10,"Facebook",'HD-28'!$B$4:$B$10,"D")</f>
        <v>0</v>
      </c>
      <c r="F21" s="5" t="n">
        <f aca="false">E21-D21</f>
        <v>-1908.57</v>
      </c>
    </row>
    <row r="22" customFormat="false" ht="15" hidden="false" customHeight="false" outlineLevel="0" collapsed="false">
      <c r="A22" s="3"/>
      <c r="B22" s="6" t="s">
        <v>11</v>
      </c>
      <c r="C22" s="7" t="n">
        <f aca="false">'HD-28'!D10</f>
        <v>11866.85</v>
      </c>
      <c r="D22" s="7" t="n">
        <f aca="false">'HD-28'!D8</f>
        <v>11866.85</v>
      </c>
      <c r="E22" s="7" t="n">
        <f aca="false">0</f>
        <v>0</v>
      </c>
      <c r="F22" s="7" t="n">
        <f aca="false">E22-D22</f>
        <v>-11866.85</v>
      </c>
    </row>
    <row r="24" customFormat="false" ht="15" hidden="false" customHeight="true" outlineLevel="0" collapsed="false">
      <c r="A24" s="3" t="s">
        <v>15</v>
      </c>
      <c r="B24" s="4" t="s">
        <v>8</v>
      </c>
      <c r="C24" s="5" t="n">
        <f aca="false">SUMIFS('HD-41'!D$4:D$10,'HD-41'!$C$4:$C$10,"CTV")</f>
        <v>0</v>
      </c>
      <c r="D24" s="5" t="n">
        <f aca="false">SUMIFS('HD-41'!D$4:D$10,'HD-41'!$C$4:$C$10,"CTV",'HD-41'!$B$4:$B$10,"R")</f>
        <v>0</v>
      </c>
      <c r="E24" s="5" t="n">
        <f aca="false">SUMIFS('HD-41'!D$4:D$10,'HD-41'!$C$4:$C$10,"CTV",'HD-41'!$B$4:$B$10,"D")</f>
        <v>0</v>
      </c>
      <c r="F24" s="5" t="n">
        <f aca="false">E24-D24</f>
        <v>0</v>
      </c>
    </row>
    <row r="25" customFormat="false" ht="15" hidden="false" customHeight="false" outlineLevel="0" collapsed="false">
      <c r="A25" s="3"/>
      <c r="B25" s="4" t="s">
        <v>9</v>
      </c>
      <c r="C25" s="5" t="n">
        <f aca="false">SUMIFS('HD-41'!D$4:D$10,'HD-41'!$C$4:$C$10,"Google")</f>
        <v>7899.44</v>
      </c>
      <c r="D25" s="5" t="n">
        <f aca="false">SUMIFS('HD-41'!D$4:D$10,'HD-41'!$C$4:$C$10,"Google",'HD-41'!$B$4:$B$10,"R")</f>
        <v>7899.44</v>
      </c>
      <c r="E25" s="5" t="n">
        <f aca="false">SUMIFS('HD-41'!D$4:D$10,'HD-41'!$C$4:$C$10,"Google",'HD-41'!$B$4:$B$10,"D")</f>
        <v>0</v>
      </c>
      <c r="F25" s="5" t="n">
        <f aca="false">E25-D25</f>
        <v>-7899.44</v>
      </c>
    </row>
    <row r="26" customFormat="false" ht="15" hidden="false" customHeight="false" outlineLevel="0" collapsed="false">
      <c r="A26" s="3"/>
      <c r="B26" s="4" t="s">
        <v>10</v>
      </c>
      <c r="C26" s="5" t="n">
        <f aca="false">SUMIFS('HD-41'!D$4:D$10,'HD-41'!$C$4:$C$10,"Facebook")</f>
        <v>901.12</v>
      </c>
      <c r="D26" s="5" t="n">
        <f aca="false">SUMIFS('HD-41'!D$4:D$10,'HD-41'!$C$4:$C$10,"Facebook",'HD-41'!$B$4:$B$10,"R")</f>
        <v>901.12</v>
      </c>
      <c r="E26" s="5" t="n">
        <f aca="false">SUMIFS('HD-41'!D$4:D$10,'HD-41'!$C$4:$C$10,"Facebook",'HD-41'!$B$4:$B$10,"D")</f>
        <v>0</v>
      </c>
      <c r="F26" s="5" t="n">
        <f aca="false">E26-D26</f>
        <v>-901.12</v>
      </c>
    </row>
    <row r="27" customFormat="false" ht="15" hidden="false" customHeight="false" outlineLevel="0" collapsed="false">
      <c r="A27" s="3"/>
      <c r="B27" s="6" t="s">
        <v>11</v>
      </c>
      <c r="C27" s="7" t="n">
        <f aca="false">'HD-41'!D10</f>
        <v>8800.56</v>
      </c>
      <c r="D27" s="7" t="n">
        <f aca="false">'HD-41'!D8</f>
        <v>8800.56</v>
      </c>
      <c r="E27" s="7" t="n">
        <f aca="false">0</f>
        <v>0</v>
      </c>
      <c r="F27" s="7" t="n">
        <f aca="false">E27-D27</f>
        <v>-8800.56</v>
      </c>
    </row>
    <row r="29" customFormat="false" ht="15" hidden="false" customHeight="true" outlineLevel="0" collapsed="false">
      <c r="A29" s="3" t="s">
        <v>16</v>
      </c>
      <c r="B29" s="4" t="s">
        <v>8</v>
      </c>
      <c r="C29" s="5" t="n">
        <f aca="false">SUMIFS('HD-44'!D$4:D$23,'HD-44'!$C$4:$C$23,"CTV")</f>
        <v>985.79</v>
      </c>
      <c r="D29" s="5" t="n">
        <f aca="false">SUMIFS('HD-44'!D$4:D$23,'HD-44'!$C$4:$C$23,"CTV",'HD-44'!$B$4:$B$23,"R")</f>
        <v>0</v>
      </c>
      <c r="E29" s="5" t="n">
        <f aca="false">SUMIFS('HD-44'!D$4:D$23,'HD-44'!$C$4:$C$23,"CTV",'HD-44'!$B$4:$B$23,"D")</f>
        <v>985.79</v>
      </c>
      <c r="F29" s="5" t="n">
        <f aca="false">E29-D29</f>
        <v>985.79</v>
      </c>
    </row>
    <row r="30" customFormat="false" ht="15" hidden="false" customHeight="false" outlineLevel="0" collapsed="false">
      <c r="A30" s="3"/>
      <c r="B30" s="4" t="s">
        <v>9</v>
      </c>
      <c r="C30" s="5" t="n">
        <f aca="false">SUMIFS('HD-44'!D$4:D$23,'HD-44'!$C$4:$C$23,"Google")</f>
        <v>13026.89</v>
      </c>
      <c r="D30" s="5" t="n">
        <f aca="false">SUMIFS('HD-44'!D$4:D$23,'HD-44'!$C$4:$C$23,"Google",'HD-44'!$B$4:$B$23,"R")</f>
        <v>9522.05</v>
      </c>
      <c r="E30" s="5" t="n">
        <f aca="false">SUMIFS('HD-44'!D$4:D$23,'HD-44'!$C$4:$C$23,"Google",'HD-44'!$B$4:$B$23,"D")</f>
        <v>3504.84</v>
      </c>
      <c r="F30" s="5" t="n">
        <f aca="false">E30-D30</f>
        <v>-6017.21</v>
      </c>
    </row>
    <row r="31" customFormat="false" ht="15" hidden="false" customHeight="false" outlineLevel="0" collapsed="false">
      <c r="A31" s="3"/>
      <c r="B31" s="4" t="s">
        <v>10</v>
      </c>
      <c r="C31" s="5" t="n">
        <f aca="false">SUMIFS('HD-44'!D$4:D$23,'HD-44'!$C$4:$C$23,"Facebook")</f>
        <v>6641.09</v>
      </c>
      <c r="D31" s="5" t="n">
        <f aca="false">SUMIFS('HD-44'!D$4:D$23,'HD-44'!$C$4:$C$23,"Facebook",'HD-44'!$B$4:$B$23,"R")</f>
        <v>1592.3</v>
      </c>
      <c r="E31" s="5" t="n">
        <f aca="false">SUMIFS('HD-44'!D$4:D$23,'HD-44'!$C$4:$C$23,"Facebook",'HD-44'!$B$4:$B$23,"D")</f>
        <v>5048.79</v>
      </c>
      <c r="F31" s="5" t="n">
        <f aca="false">E31-D31</f>
        <v>3456.49</v>
      </c>
    </row>
    <row r="32" customFormat="false" ht="15" hidden="false" customHeight="false" outlineLevel="0" collapsed="false">
      <c r="A32" s="3"/>
      <c r="B32" s="6" t="s">
        <v>11</v>
      </c>
      <c r="C32" s="7" t="n">
        <f aca="false">'HD-44'!D23</f>
        <v>20653.77</v>
      </c>
      <c r="D32" s="7" t="n">
        <f aca="false">'HD-44'!D8</f>
        <v>11114.35</v>
      </c>
      <c r="E32" s="7" t="n">
        <f aca="false">'HD-44'!D21</f>
        <v>9539.42</v>
      </c>
      <c r="F32" s="7" t="n">
        <f aca="false">E32-D32</f>
        <v>-1574.93</v>
      </c>
    </row>
    <row r="34" customFormat="false" ht="15" hidden="false" customHeight="true" outlineLevel="0" collapsed="false">
      <c r="A34" s="3" t="s">
        <v>17</v>
      </c>
      <c r="B34" s="4" t="s">
        <v>8</v>
      </c>
      <c r="C34" s="5" t="n">
        <f aca="false">SUMIFS('HD-46'!D$4:D$10,'HD-46'!$C$4:$C$10,"CTV")</f>
        <v>0</v>
      </c>
      <c r="D34" s="5" t="n">
        <f aca="false">SUMIFS('HD-46'!D$4:D$10,'HD-46'!$C$4:$C$10,"CTV",'HD-46'!$B$4:$B$10,"R")</f>
        <v>0</v>
      </c>
      <c r="E34" s="5" t="n">
        <f aca="false">SUMIFS('HD-46'!D$4:D$10,'HD-46'!$C$4:$C$10,"CTV",'HD-46'!$B$4:$B$10,"D")</f>
        <v>0</v>
      </c>
      <c r="F34" s="5" t="n">
        <f aca="false">E34-D34</f>
        <v>0</v>
      </c>
    </row>
    <row r="35" customFormat="false" ht="15" hidden="false" customHeight="false" outlineLevel="0" collapsed="false">
      <c r="A35" s="3"/>
      <c r="B35" s="4" t="s">
        <v>9</v>
      </c>
      <c r="C35" s="5" t="n">
        <f aca="false">SUMIFS('HD-46'!D$4:D$10,'HD-46'!$C$4:$C$10,"Google")</f>
        <v>600</v>
      </c>
      <c r="D35" s="5" t="n">
        <f aca="false">SUMIFS('HD-46'!D$4:D$10,'HD-46'!$C$4:$C$10,"Google",'HD-46'!$B$4:$B$10,"R")</f>
        <v>600</v>
      </c>
      <c r="E35" s="5" t="n">
        <f aca="false">SUMIFS('HD-46'!D$4:D$10,'HD-46'!$C$4:$C$10,"Google",'HD-46'!$B$4:$B$10,"D")</f>
        <v>0</v>
      </c>
      <c r="F35" s="5" t="n">
        <f aca="false">E35-D35</f>
        <v>-600</v>
      </c>
    </row>
    <row r="36" customFormat="false" ht="15" hidden="false" customHeight="false" outlineLevel="0" collapsed="false">
      <c r="A36" s="3"/>
      <c r="B36" s="4" t="s">
        <v>10</v>
      </c>
      <c r="C36" s="5" t="n">
        <f aca="false">SUMIFS('HD-46'!D$4:D$10,'HD-46'!$C$4:$C$10,"Facebook")</f>
        <v>1140.3</v>
      </c>
      <c r="D36" s="5" t="n">
        <f aca="false">SUMIFS('HD-46'!D$4:D$10,'HD-46'!$C$4:$C$10,"Facebook",'HD-46'!$B$4:$B$10,"R")</f>
        <v>1140.3</v>
      </c>
      <c r="E36" s="5" t="n">
        <f aca="false">SUMIFS('HD-46'!D$4:D$10,'HD-46'!$C$4:$C$10,"Facebook",'HD-46'!$B$4:$B$10,"D")</f>
        <v>0</v>
      </c>
      <c r="F36" s="5" t="n">
        <f aca="false">E36-D36</f>
        <v>-1140.3</v>
      </c>
    </row>
    <row r="37" customFormat="false" ht="15" hidden="false" customHeight="false" outlineLevel="0" collapsed="false">
      <c r="A37" s="3"/>
      <c r="B37" s="6" t="s">
        <v>11</v>
      </c>
      <c r="C37" s="7" t="n">
        <f aca="false">'HD-46'!D10</f>
        <v>1740.3</v>
      </c>
      <c r="D37" s="7" t="n">
        <f aca="false">'HD-46'!D8</f>
        <v>1740.3</v>
      </c>
      <c r="E37" s="7" t="n">
        <f aca="false">0</f>
        <v>0</v>
      </c>
      <c r="F37" s="7" t="n">
        <f aca="false">E37-D37</f>
        <v>-1740.3</v>
      </c>
    </row>
    <row r="39" customFormat="false" ht="15" hidden="false" customHeight="true" outlineLevel="0" collapsed="false">
      <c r="A39" s="3" t="s">
        <v>18</v>
      </c>
      <c r="B39" s="4" t="s">
        <v>8</v>
      </c>
      <c r="C39" s="5" t="n">
        <f aca="false">SUMIFS('HD-72'!D$4:D$26,'HD-72'!$C$4:$C$26,"CTV")</f>
        <v>67673.63</v>
      </c>
      <c r="D39" s="5" t="n">
        <f aca="false">SUMIFS('HD-72'!D$4:D$26,'HD-72'!$C$4:$C$26,"CTV",'HD-72'!$B$4:$B$26,"R")</f>
        <v>0</v>
      </c>
      <c r="E39" s="5" t="n">
        <f aca="false">SUMIFS('HD-72'!D$4:D$26,'HD-72'!$C$4:$C$26,"CTV",'HD-72'!$B$4:$B$26,"D")</f>
        <v>67673.63</v>
      </c>
      <c r="F39" s="5" t="n">
        <f aca="false">E39-D39</f>
        <v>67673.63</v>
      </c>
    </row>
    <row r="40" customFormat="false" ht="15" hidden="false" customHeight="false" outlineLevel="0" collapsed="false">
      <c r="A40" s="3"/>
      <c r="B40" s="4" t="s">
        <v>9</v>
      </c>
      <c r="C40" s="5" t="n">
        <f aca="false">SUMIFS('HD-72'!D$4:D$26,'HD-72'!$C$4:$C$26,"Google")</f>
        <v>22139.3</v>
      </c>
      <c r="D40" s="5" t="n">
        <f aca="false">SUMIFS('HD-72'!D$4:D$26,'HD-72'!$C$4:$C$26,"Google",'HD-72'!$B$4:$B$26,"R")</f>
        <v>19315.89</v>
      </c>
      <c r="E40" s="5" t="n">
        <f aca="false">SUMIFS('HD-72'!D$4:D$26,'HD-72'!$C$4:$C$26,"Google",'HD-72'!$B$4:$B$26,"D")</f>
        <v>2823.41</v>
      </c>
      <c r="F40" s="5" t="n">
        <f aca="false">E40-D40</f>
        <v>-16492.48</v>
      </c>
    </row>
    <row r="41" customFormat="false" ht="15" hidden="false" customHeight="false" outlineLevel="0" collapsed="false">
      <c r="A41" s="3"/>
      <c r="B41" s="4" t="s">
        <v>10</v>
      </c>
      <c r="C41" s="5" t="n">
        <f aca="false">SUMIFS('HD-72'!D$4:D$26,'HD-72'!$C$4:$C$26,"Facebook")</f>
        <v>11303.9</v>
      </c>
      <c r="D41" s="5" t="n">
        <f aca="false">SUMIFS('HD-72'!D$4:D$26,'HD-72'!$C$4:$C$26,"Facebook",'HD-72'!$B$4:$B$26,"R")</f>
        <v>1656.18</v>
      </c>
      <c r="E41" s="5" t="n">
        <f aca="false">SUMIFS('HD-72'!D$4:D$26,'HD-72'!$C$4:$C$26,"Facebook",'HD-72'!$B$4:$B$26,"D")</f>
        <v>9647.72</v>
      </c>
      <c r="F41" s="5" t="n">
        <f aca="false">E41-D41</f>
        <v>7991.54</v>
      </c>
    </row>
    <row r="42" customFormat="false" ht="15" hidden="false" customHeight="false" outlineLevel="0" collapsed="false">
      <c r="A42" s="3"/>
      <c r="B42" s="6" t="s">
        <v>11</v>
      </c>
      <c r="C42" s="7" t="n">
        <f aca="false">'HD-72'!D26</f>
        <v>101116.83</v>
      </c>
      <c r="D42" s="7" t="n">
        <f aca="false">'HD-72'!D11</f>
        <v>20972.07</v>
      </c>
      <c r="E42" s="7" t="n">
        <f aca="false">'HD-72'!D24</f>
        <v>80144.76</v>
      </c>
      <c r="F42" s="7" t="n">
        <f aca="false">E42-D42</f>
        <v>59172.69</v>
      </c>
    </row>
    <row r="44" customFormat="false" ht="15" hidden="false" customHeight="true" outlineLevel="0" collapsed="false">
      <c r="A44" s="3" t="s">
        <v>19</v>
      </c>
      <c r="B44" s="4" t="s">
        <v>8</v>
      </c>
      <c r="C44" s="5" t="n">
        <f aca="false">SUMIFS('HD-88'!D$4:D$15,'HD-88'!$C$4:$C$15,"CTV")</f>
        <v>0</v>
      </c>
      <c r="D44" s="5" t="n">
        <f aca="false">SUMIFS('HD-88'!D$4:D$15,'HD-88'!$C$4:$C$15,"CTV",'HD-88'!$B$4:$B$15,"R")</f>
        <v>0</v>
      </c>
      <c r="E44" s="5" t="n">
        <f aca="false">SUMIFS('HD-88'!D$4:D$15,'HD-88'!$C$4:$C$15,"CTV",'HD-88'!$B$4:$B$15,"D")</f>
        <v>0</v>
      </c>
      <c r="F44" s="5" t="n">
        <f aca="false">E44-D44</f>
        <v>0</v>
      </c>
    </row>
    <row r="45" customFormat="false" ht="15" hidden="false" customHeight="false" outlineLevel="0" collapsed="false">
      <c r="A45" s="3"/>
      <c r="B45" s="4" t="s">
        <v>9</v>
      </c>
      <c r="C45" s="5" t="n">
        <f aca="false">SUMIFS('HD-88'!D$4:D$15,'HD-88'!$C$4:$C$15,"Google")</f>
        <v>8032.72</v>
      </c>
      <c r="D45" s="5" t="n">
        <f aca="false">SUMIFS('HD-88'!D$4:D$15,'HD-88'!$C$4:$C$15,"Google",'HD-88'!$B$4:$B$15,"R")</f>
        <v>8032.72</v>
      </c>
      <c r="E45" s="5" t="n">
        <f aca="false">SUMIFS('HD-88'!D$4:D$15,'HD-88'!$C$4:$C$15,"Google",'HD-88'!$B$4:$B$15,"D")</f>
        <v>0</v>
      </c>
      <c r="F45" s="5" t="n">
        <f aca="false">E45-D45</f>
        <v>-8032.72</v>
      </c>
    </row>
    <row r="46" customFormat="false" ht="15" hidden="false" customHeight="false" outlineLevel="0" collapsed="false">
      <c r="A46" s="3"/>
      <c r="B46" s="4" t="s">
        <v>10</v>
      </c>
      <c r="C46" s="5" t="n">
        <f aca="false">SUMIFS('HD-88'!D$4:D$15,'HD-88'!$C$4:$C$15,"Facebook")</f>
        <v>3701.28</v>
      </c>
      <c r="D46" s="5" t="n">
        <f aca="false">SUMIFS('HD-88'!D$4:D$15,'HD-88'!$C$4:$C$15,"Facebook",'HD-88'!$B$4:$B$15,"R")</f>
        <v>672.68</v>
      </c>
      <c r="E46" s="5" t="n">
        <f aca="false">SUMIFS('HD-88'!D$4:D$15,'HD-88'!$C$4:$C$15,"Facebook",'HD-88'!$B$4:$B$15,"D")</f>
        <v>3028.6</v>
      </c>
      <c r="F46" s="5" t="n">
        <f aca="false">E46-D46</f>
        <v>2355.92</v>
      </c>
    </row>
    <row r="47" customFormat="false" ht="15" hidden="false" customHeight="false" outlineLevel="0" collapsed="false">
      <c r="A47" s="3"/>
      <c r="B47" s="6" t="s">
        <v>11</v>
      </c>
      <c r="C47" s="7" t="n">
        <f aca="false">'HD-88'!D15</f>
        <v>11734</v>
      </c>
      <c r="D47" s="7" t="n">
        <f aca="false">'HD-88'!D8</f>
        <v>8705.4</v>
      </c>
      <c r="E47" s="7" t="n">
        <f aca="false">'HD-88'!D13</f>
        <v>3028.6</v>
      </c>
      <c r="F47" s="7" t="n">
        <f aca="false">E47-D47</f>
        <v>-5676.8</v>
      </c>
    </row>
    <row r="49" customFormat="false" ht="15" hidden="false" customHeight="true" outlineLevel="0" collapsed="false">
      <c r="A49" s="3" t="s">
        <v>20</v>
      </c>
      <c r="B49" s="4" t="s">
        <v>8</v>
      </c>
      <c r="C49" s="5" t="n">
        <f aca="false">SUMIFS('HD-118'!D$4:D$18,'HD-118'!$C$4:$C$18,"CTV")</f>
        <v>2510.2</v>
      </c>
      <c r="D49" s="5" t="n">
        <f aca="false">SUMIFS('HD-118'!D$4:D$18,'HD-118'!$C$4:$C$18,"CTV",'HD-118'!$B$4:$B$18,"R")</f>
        <v>0</v>
      </c>
      <c r="E49" s="5" t="n">
        <f aca="false">SUMIFS('HD-118'!D$4:D$18,'HD-118'!$C$4:$C$18,"CTV",'HD-118'!$B$4:$B$18,"D")</f>
        <v>2510.2</v>
      </c>
      <c r="F49" s="5" t="n">
        <f aca="false">E49-D49</f>
        <v>2510.2</v>
      </c>
    </row>
    <row r="50" customFormat="false" ht="15" hidden="false" customHeight="false" outlineLevel="0" collapsed="false">
      <c r="A50" s="3"/>
      <c r="B50" s="4" t="s">
        <v>9</v>
      </c>
      <c r="C50" s="5" t="n">
        <f aca="false">SUMIFS('HD-118'!D$4:D$18,'HD-118'!$C$4:$C$18,"Google")</f>
        <v>9883.41</v>
      </c>
      <c r="D50" s="5" t="n">
        <f aca="false">SUMIFS('HD-118'!D$4:D$18,'HD-118'!$C$4:$C$18,"Google",'HD-118'!$B$4:$B$18,"R")</f>
        <v>8287.54</v>
      </c>
      <c r="E50" s="5" t="n">
        <f aca="false">SUMIFS('HD-118'!D$4:D$18,'HD-118'!$C$4:$C$18,"Google",'HD-118'!$B$4:$B$18,"D")</f>
        <v>1595.87</v>
      </c>
      <c r="F50" s="5" t="n">
        <f aca="false">E50-D50</f>
        <v>-6691.67</v>
      </c>
    </row>
    <row r="51" customFormat="false" ht="15" hidden="false" customHeight="false" outlineLevel="0" collapsed="false">
      <c r="A51" s="3"/>
      <c r="B51" s="4" t="s">
        <v>10</v>
      </c>
      <c r="C51" s="5" t="n">
        <f aca="false">SUMIFS('HD-118'!D$4:D$18,'HD-118'!$C$4:$C$18,"Facebook")</f>
        <v>950.53</v>
      </c>
      <c r="D51" s="5" t="n">
        <f aca="false">SUMIFS('HD-118'!D$4:D$18,'HD-118'!$C$4:$C$18,"Facebook",'HD-118'!$B$4:$B$18,"R")</f>
        <v>950.53</v>
      </c>
      <c r="E51" s="5" t="n">
        <f aca="false">SUMIFS('HD-118'!D$4:D$18,'HD-118'!$C$4:$C$18,"Facebook",'HD-118'!$B$4:$B$18,"D")</f>
        <v>0</v>
      </c>
      <c r="F51" s="5" t="n">
        <f aca="false">E51-D51</f>
        <v>-950.53</v>
      </c>
    </row>
    <row r="52" customFormat="false" ht="15" hidden="false" customHeight="false" outlineLevel="0" collapsed="false">
      <c r="A52" s="3"/>
      <c r="B52" s="6" t="s">
        <v>11</v>
      </c>
      <c r="C52" s="7" t="n">
        <f aca="false">'HD-118'!D18</f>
        <v>13344.14</v>
      </c>
      <c r="D52" s="7" t="n">
        <f aca="false">'HD-118'!D8</f>
        <v>9238.07</v>
      </c>
      <c r="E52" s="7" t="n">
        <f aca="false">'HD-118'!D16</f>
        <v>4106.07</v>
      </c>
      <c r="F52" s="7" t="n">
        <f aca="false">E52-D52</f>
        <v>-5132</v>
      </c>
    </row>
    <row r="54" customFormat="false" ht="15" hidden="false" customHeight="true" outlineLevel="0" collapsed="false">
      <c r="A54" s="3" t="s">
        <v>21</v>
      </c>
      <c r="B54" s="4" t="s">
        <v>8</v>
      </c>
      <c r="C54" s="5" t="n">
        <f aca="false">SUMIFS('HD-121'!D$4:D$10,'HD-121'!$C$4:$C$10,"CTV")</f>
        <v>7904.74</v>
      </c>
      <c r="D54" s="5" t="n">
        <f aca="false">SUMIFS('HD-121'!D$4:D$10,'HD-121'!$C$4:$C$10,"CTV",'HD-121'!$B$4:$B$10,"R")</f>
        <v>0</v>
      </c>
      <c r="E54" s="5" t="n">
        <f aca="false">SUMIFS('HD-121'!D$4:D$10,'HD-121'!$C$4:$C$10,"CTV",'HD-121'!$B$4:$B$10,"D")</f>
        <v>7904.74</v>
      </c>
      <c r="F54" s="5" t="n">
        <f aca="false">E54-D54</f>
        <v>7904.74</v>
      </c>
    </row>
    <row r="55" customFormat="false" ht="15" hidden="false" customHeight="false" outlineLevel="0" collapsed="false">
      <c r="A55" s="3"/>
      <c r="B55" s="4" t="s">
        <v>9</v>
      </c>
      <c r="C55" s="5" t="n">
        <f aca="false">SUMIFS('HD-121'!D$4:D$10,'HD-121'!$C$4:$C$10,"Google")</f>
        <v>15100</v>
      </c>
      <c r="D55" s="5" t="n">
        <f aca="false">SUMIFS('HD-121'!D$4:D$10,'HD-121'!$C$4:$C$10,"Google",'HD-121'!$B$4:$B$10,"R")</f>
        <v>0</v>
      </c>
      <c r="E55" s="5" t="n">
        <f aca="false">SUMIFS('HD-121'!D$4:D$10,'HD-121'!$C$4:$C$10,"Google",'HD-121'!$B$4:$B$10,"D")</f>
        <v>15100</v>
      </c>
      <c r="F55" s="5" t="n">
        <f aca="false">E55-D55</f>
        <v>15100</v>
      </c>
    </row>
    <row r="56" customFormat="false" ht="15" hidden="false" customHeight="false" outlineLevel="0" collapsed="false">
      <c r="A56" s="3"/>
      <c r="B56" s="4" t="s">
        <v>10</v>
      </c>
      <c r="C56" s="5" t="n">
        <f aca="false">SUMIFS('HD-121'!D$4:D$10,'HD-121'!$C$4:$C$10,"Facebook")</f>
        <v>0</v>
      </c>
      <c r="D56" s="5" t="n">
        <f aca="false">SUMIFS('HD-121'!D$4:D$10,'HD-121'!$C$4:$C$10,"Facebook",'HD-121'!$B$4:$B$10,"R")</f>
        <v>0</v>
      </c>
      <c r="E56" s="5" t="n">
        <f aca="false">SUMIFS('HD-121'!D$4:D$10,'HD-121'!$C$4:$C$10,"Facebook",'HD-121'!$B$4:$B$10,"D")</f>
        <v>0</v>
      </c>
      <c r="F56" s="5" t="n">
        <f aca="false">E56-D56</f>
        <v>0</v>
      </c>
    </row>
    <row r="57" customFormat="false" ht="15" hidden="false" customHeight="false" outlineLevel="0" collapsed="false">
      <c r="A57" s="3"/>
      <c r="B57" s="6" t="s">
        <v>11</v>
      </c>
      <c r="C57" s="7" t="n">
        <f aca="false">'HD-121'!D10</f>
        <v>23004.74</v>
      </c>
      <c r="D57" s="7" t="n">
        <f aca="false">0</f>
        <v>0</v>
      </c>
      <c r="E57" s="7" t="n">
        <f aca="false">'HD-121'!D8</f>
        <v>23004.74</v>
      </c>
      <c r="F57" s="7" t="n">
        <f aca="false">E57-D57</f>
        <v>23004.74</v>
      </c>
    </row>
    <row r="59" customFormat="false" ht="15" hidden="false" customHeight="true" outlineLevel="0" collapsed="false">
      <c r="A59" s="3" t="s">
        <v>22</v>
      </c>
      <c r="B59" s="4" t="s">
        <v>8</v>
      </c>
      <c r="C59" s="5" t="n">
        <f aca="false">SUMIFS('HD-137'!D$4:D$23,'HD-137'!$C$4:$C$23,"CTV")</f>
        <v>53763.57</v>
      </c>
      <c r="D59" s="5" t="n">
        <f aca="false">SUMIFS('HD-137'!D$4:D$23,'HD-137'!$C$4:$C$23,"CTV",'HD-137'!$B$4:$B$23,"R")</f>
        <v>0</v>
      </c>
      <c r="E59" s="5" t="n">
        <f aca="false">SUMIFS('HD-137'!D$4:D$23,'HD-137'!$C$4:$C$23,"CTV",'HD-137'!$B$4:$B$23,"D")</f>
        <v>53763.57</v>
      </c>
      <c r="F59" s="5" t="n">
        <f aca="false">E59-D59</f>
        <v>53763.57</v>
      </c>
    </row>
    <row r="60" customFormat="false" ht="15" hidden="false" customHeight="false" outlineLevel="0" collapsed="false">
      <c r="A60" s="3"/>
      <c r="B60" s="4" t="s">
        <v>9</v>
      </c>
      <c r="C60" s="5" t="n">
        <f aca="false">SUMIFS('HD-137'!D$4:D$23,'HD-137'!$C$4:$C$23,"Google")</f>
        <v>18841.78</v>
      </c>
      <c r="D60" s="5" t="n">
        <f aca="false">SUMIFS('HD-137'!D$4:D$23,'HD-137'!$C$4:$C$23,"Google",'HD-137'!$B$4:$B$23,"R")</f>
        <v>11017.23</v>
      </c>
      <c r="E60" s="5" t="n">
        <f aca="false">SUMIFS('HD-137'!D$4:D$23,'HD-137'!$C$4:$C$23,"Google",'HD-137'!$B$4:$B$23,"D")</f>
        <v>7824.55</v>
      </c>
      <c r="F60" s="5" t="n">
        <f aca="false">E60-D60</f>
        <v>-3192.68</v>
      </c>
    </row>
    <row r="61" customFormat="false" ht="15" hidden="false" customHeight="false" outlineLevel="0" collapsed="false">
      <c r="A61" s="3"/>
      <c r="B61" s="4" t="s">
        <v>10</v>
      </c>
      <c r="C61" s="5" t="n">
        <f aca="false">SUMIFS('HD-137'!D$4:D$23,'HD-137'!$C$4:$C$23,"Facebook")</f>
        <v>6365.43</v>
      </c>
      <c r="D61" s="5" t="n">
        <f aca="false">SUMIFS('HD-137'!D$4:D$23,'HD-137'!$C$4:$C$23,"Facebook",'HD-137'!$B$4:$B$23,"R")</f>
        <v>3487.41</v>
      </c>
      <c r="E61" s="5" t="n">
        <f aca="false">SUMIFS('HD-137'!D$4:D$23,'HD-137'!$C$4:$C$23,"Facebook",'HD-137'!$B$4:$B$23,"D")</f>
        <v>2878.02</v>
      </c>
      <c r="F61" s="5" t="n">
        <f aca="false">E61-D61</f>
        <v>-609.39</v>
      </c>
    </row>
    <row r="62" customFormat="false" ht="15" hidden="false" customHeight="false" outlineLevel="0" collapsed="false">
      <c r="A62" s="3"/>
      <c r="B62" s="6" t="s">
        <v>11</v>
      </c>
      <c r="C62" s="7" t="n">
        <f aca="false">'HD-137'!D23</f>
        <v>78970.78</v>
      </c>
      <c r="D62" s="7" t="n">
        <f aca="false">'HD-137'!D11</f>
        <v>14504.64</v>
      </c>
      <c r="E62" s="7" t="n">
        <f aca="false">'HD-137'!D21</f>
        <v>64466.14</v>
      </c>
      <c r="F62" s="7" t="n">
        <f aca="false">E62-D62</f>
        <v>49961.5</v>
      </c>
    </row>
    <row r="64" customFormat="false" ht="15" hidden="false" customHeight="true" outlineLevel="0" collapsed="false">
      <c r="A64" s="3" t="s">
        <v>23</v>
      </c>
      <c r="B64" s="4" t="s">
        <v>8</v>
      </c>
      <c r="C64" s="5" t="n">
        <f aca="false">SUMIFS('HD-142'!D$4:D$18,'HD-142'!$C$4:$C$18,"CTV")</f>
        <v>288.25</v>
      </c>
      <c r="D64" s="5" t="n">
        <f aca="false">SUMIFS('HD-142'!D$4:D$18,'HD-142'!$C$4:$C$18,"CTV",'HD-142'!$B$4:$B$18,"R")</f>
        <v>0</v>
      </c>
      <c r="E64" s="5" t="n">
        <f aca="false">SUMIFS('HD-142'!D$4:D$18,'HD-142'!$C$4:$C$18,"CTV",'HD-142'!$B$4:$B$18,"D")</f>
        <v>288.25</v>
      </c>
      <c r="F64" s="5" t="n">
        <f aca="false">E64-D64</f>
        <v>288.25</v>
      </c>
    </row>
    <row r="65" customFormat="false" ht="15" hidden="false" customHeight="false" outlineLevel="0" collapsed="false">
      <c r="A65" s="3"/>
      <c r="B65" s="4" t="s">
        <v>9</v>
      </c>
      <c r="C65" s="5" t="n">
        <f aca="false">SUMIFS('HD-142'!D$4:D$18,'HD-142'!$C$4:$C$18,"Google")</f>
        <v>9083.11</v>
      </c>
      <c r="D65" s="5" t="n">
        <f aca="false">SUMIFS('HD-142'!D$4:D$18,'HD-142'!$C$4:$C$18,"Google",'HD-142'!$B$4:$B$18,"R")</f>
        <v>9083.11</v>
      </c>
      <c r="E65" s="5" t="n">
        <f aca="false">SUMIFS('HD-142'!D$4:D$18,'HD-142'!$C$4:$C$18,"Google",'HD-142'!$B$4:$B$18,"D")</f>
        <v>0</v>
      </c>
      <c r="F65" s="5" t="n">
        <f aca="false">E65-D65</f>
        <v>-9083.11</v>
      </c>
    </row>
    <row r="66" customFormat="false" ht="15" hidden="false" customHeight="false" outlineLevel="0" collapsed="false">
      <c r="A66" s="3"/>
      <c r="B66" s="4" t="s">
        <v>10</v>
      </c>
      <c r="C66" s="5" t="n">
        <f aca="false">SUMIFS('HD-142'!D$4:D$18,'HD-142'!$C$4:$C$18,"Facebook")</f>
        <v>4120.32</v>
      </c>
      <c r="D66" s="5" t="n">
        <f aca="false">SUMIFS('HD-142'!D$4:D$18,'HD-142'!$C$4:$C$18,"Facebook",'HD-142'!$B$4:$B$18,"R")</f>
        <v>1153.65</v>
      </c>
      <c r="E66" s="5" t="n">
        <f aca="false">SUMIFS('HD-142'!D$4:D$18,'HD-142'!$C$4:$C$18,"Facebook",'HD-142'!$B$4:$B$18,"D")</f>
        <v>2966.67</v>
      </c>
      <c r="F66" s="5" t="n">
        <f aca="false">E66-D66</f>
        <v>1813.02</v>
      </c>
    </row>
    <row r="67" customFormat="false" ht="15" hidden="false" customHeight="false" outlineLevel="0" collapsed="false">
      <c r="A67" s="3"/>
      <c r="B67" s="6" t="s">
        <v>11</v>
      </c>
      <c r="C67" s="7" t="n">
        <f aca="false">'HD-142'!D18</f>
        <v>13491.68</v>
      </c>
      <c r="D67" s="7" t="n">
        <f aca="false">'HD-142'!D8</f>
        <v>10236.76</v>
      </c>
      <c r="E67" s="7" t="n">
        <f aca="false">'HD-142'!D16</f>
        <v>3254.92</v>
      </c>
      <c r="F67" s="7" t="n">
        <f aca="false">E67-D67</f>
        <v>-6981.84</v>
      </c>
    </row>
    <row r="69" customFormat="false" ht="15" hidden="false" customHeight="true" outlineLevel="0" collapsed="false">
      <c r="A69" s="3" t="s">
        <v>24</v>
      </c>
      <c r="B69" s="4" t="s">
        <v>8</v>
      </c>
      <c r="C69" s="5" t="n">
        <f aca="false">SUMIFS('HD-143'!D$4:D$10,'HD-143'!$C$4:$C$10,"CTV")</f>
        <v>0</v>
      </c>
      <c r="D69" s="5" t="n">
        <f aca="false">SUMIFS('HD-143'!D$4:D$10,'HD-143'!$C$4:$C$10,"CTV",'HD-143'!$B$4:$B$10,"R")</f>
        <v>0</v>
      </c>
      <c r="E69" s="5" t="n">
        <f aca="false">SUMIFS('HD-143'!D$4:D$10,'HD-143'!$C$4:$C$10,"CTV",'HD-143'!$B$4:$B$10,"D")</f>
        <v>0</v>
      </c>
      <c r="F69" s="5" t="n">
        <f aca="false">E69-D69</f>
        <v>0</v>
      </c>
    </row>
    <row r="70" customFormat="false" ht="15" hidden="false" customHeight="false" outlineLevel="0" collapsed="false">
      <c r="A70" s="3"/>
      <c r="B70" s="4" t="s">
        <v>9</v>
      </c>
      <c r="C70" s="5" t="n">
        <f aca="false">SUMIFS('HD-143'!D$4:D$10,'HD-143'!$C$4:$C$10,"Google")</f>
        <v>8214.72</v>
      </c>
      <c r="D70" s="5" t="n">
        <f aca="false">SUMIFS('HD-143'!D$4:D$10,'HD-143'!$C$4:$C$10,"Google",'HD-143'!$B$4:$B$10,"R")</f>
        <v>8214.72</v>
      </c>
      <c r="E70" s="5" t="n">
        <f aca="false">SUMIFS('HD-143'!D$4:D$10,'HD-143'!$C$4:$C$10,"Google",'HD-143'!$B$4:$B$10,"D")</f>
        <v>0</v>
      </c>
      <c r="F70" s="5" t="n">
        <f aca="false">E70-D70</f>
        <v>-8214.72</v>
      </c>
    </row>
    <row r="71" customFormat="false" ht="15" hidden="false" customHeight="false" outlineLevel="0" collapsed="false">
      <c r="A71" s="3"/>
      <c r="B71" s="4" t="s">
        <v>10</v>
      </c>
      <c r="C71" s="5" t="n">
        <f aca="false">SUMIFS('HD-143'!D$4:D$10,'HD-143'!$C$4:$C$10,"Facebook")</f>
        <v>1325.59</v>
      </c>
      <c r="D71" s="5" t="n">
        <f aca="false">SUMIFS('HD-143'!D$4:D$10,'HD-143'!$C$4:$C$10,"Facebook",'HD-143'!$B$4:$B$10,"R")</f>
        <v>1325.59</v>
      </c>
      <c r="E71" s="5" t="n">
        <f aca="false">SUMIFS('HD-143'!D$4:D$10,'HD-143'!$C$4:$C$10,"Facebook",'HD-143'!$B$4:$B$10,"D")</f>
        <v>0</v>
      </c>
      <c r="F71" s="5" t="n">
        <f aca="false">E71-D71</f>
        <v>-1325.59</v>
      </c>
    </row>
    <row r="72" customFormat="false" ht="15" hidden="false" customHeight="false" outlineLevel="0" collapsed="false">
      <c r="A72" s="3"/>
      <c r="B72" s="6" t="s">
        <v>11</v>
      </c>
      <c r="C72" s="7" t="n">
        <f aca="false">'HD-143'!D10</f>
        <v>9540.31</v>
      </c>
      <c r="D72" s="7" t="n">
        <f aca="false">'HD-143'!D8</f>
        <v>9540.31</v>
      </c>
      <c r="E72" s="7" t="n">
        <f aca="false">0</f>
        <v>0</v>
      </c>
      <c r="F72" s="7" t="n">
        <f aca="false">E72-D72</f>
        <v>-9540.31</v>
      </c>
    </row>
    <row r="74" customFormat="false" ht="15" hidden="false" customHeight="true" outlineLevel="0" collapsed="false">
      <c r="A74" s="3" t="s">
        <v>25</v>
      </c>
      <c r="B74" s="4" t="s">
        <v>8</v>
      </c>
      <c r="C74" s="5" t="n">
        <f aca="false">SUMIFS('HD-144'!D$4:D$24,'HD-144'!$C$4:$C$24,"CTV")</f>
        <v>1448.29</v>
      </c>
      <c r="D74" s="5" t="n">
        <f aca="false">SUMIFS('HD-144'!D$4:D$24,'HD-144'!$C$4:$C$24,"CTV",'HD-144'!$B$4:$B$24,"R")</f>
        <v>0</v>
      </c>
      <c r="E74" s="5" t="n">
        <f aca="false">SUMIFS('HD-144'!D$4:D$24,'HD-144'!$C$4:$C$24,"CTV",'HD-144'!$B$4:$B$24,"D")</f>
        <v>1448.29</v>
      </c>
      <c r="F74" s="5" t="n">
        <f aca="false">E74-D74</f>
        <v>1448.29</v>
      </c>
    </row>
    <row r="75" customFormat="false" ht="15" hidden="false" customHeight="false" outlineLevel="0" collapsed="false">
      <c r="A75" s="3"/>
      <c r="B75" s="4" t="s">
        <v>9</v>
      </c>
      <c r="C75" s="5" t="n">
        <f aca="false">SUMIFS('HD-144'!D$4:D$24,'HD-144'!$C$4:$C$24,"Google")</f>
        <v>10764.7</v>
      </c>
      <c r="D75" s="5" t="n">
        <f aca="false">SUMIFS('HD-144'!D$4:D$24,'HD-144'!$C$4:$C$24,"Google",'HD-144'!$B$4:$B$24,"R")</f>
        <v>9464.7</v>
      </c>
      <c r="E75" s="5" t="n">
        <f aca="false">SUMIFS('HD-144'!D$4:D$24,'HD-144'!$C$4:$C$24,"Google",'HD-144'!$B$4:$B$24,"D")</f>
        <v>1300</v>
      </c>
      <c r="F75" s="5" t="n">
        <f aca="false">E75-D75</f>
        <v>-8164.7</v>
      </c>
    </row>
    <row r="76" customFormat="false" ht="15" hidden="false" customHeight="false" outlineLevel="0" collapsed="false">
      <c r="A76" s="3"/>
      <c r="B76" s="4" t="s">
        <v>10</v>
      </c>
      <c r="C76" s="5" t="n">
        <f aca="false">SUMIFS('HD-144'!D$4:D$24,'HD-144'!$C$4:$C$24,"Facebook")</f>
        <v>2019.66</v>
      </c>
      <c r="D76" s="5" t="n">
        <f aca="false">SUMIFS('HD-144'!D$4:D$24,'HD-144'!$C$4:$C$24,"Facebook",'HD-144'!$B$4:$B$24,"R")</f>
        <v>772.85</v>
      </c>
      <c r="E76" s="5" t="n">
        <f aca="false">SUMIFS('HD-144'!D$4:D$24,'HD-144'!$C$4:$C$24,"Facebook",'HD-144'!$B$4:$B$24,"D")</f>
        <v>1246.81</v>
      </c>
      <c r="F76" s="5" t="n">
        <f aca="false">E76-D76</f>
        <v>473.96</v>
      </c>
    </row>
    <row r="77" customFormat="false" ht="15" hidden="false" customHeight="false" outlineLevel="0" collapsed="false">
      <c r="A77" s="3"/>
      <c r="B77" s="6" t="s">
        <v>11</v>
      </c>
      <c r="C77" s="7" t="n">
        <f aca="false">'HD-144'!D24</f>
        <v>14232.65</v>
      </c>
      <c r="D77" s="7" t="n">
        <f aca="false">'HD-144'!D8</f>
        <v>10237.55</v>
      </c>
      <c r="E77" s="7" t="n">
        <f aca="false">'HD-144'!D22</f>
        <v>3995.1</v>
      </c>
      <c r="F77" s="7" t="n">
        <f aca="false">E77-D77</f>
        <v>-6242.45</v>
      </c>
    </row>
    <row r="79" customFormat="false" ht="15" hidden="false" customHeight="true" outlineLevel="0" collapsed="false">
      <c r="A79" s="3" t="s">
        <v>26</v>
      </c>
      <c r="B79" s="4" t="s">
        <v>8</v>
      </c>
      <c r="C79" s="5" t="n">
        <f aca="false">SUMIFS('HD-147'!D$4:D$10,'HD-147'!$C$4:$C$10,"CTV")</f>
        <v>0</v>
      </c>
      <c r="D79" s="5" t="n">
        <f aca="false">SUMIFS('HD-147'!D$4:D$10,'HD-147'!$C$4:$C$10,"CTV",'HD-147'!$B$4:$B$10,"R")</f>
        <v>0</v>
      </c>
      <c r="E79" s="5" t="n">
        <f aca="false">SUMIFS('HD-147'!D$4:D$10,'HD-147'!$C$4:$C$10,"CTV",'HD-147'!$B$4:$B$10,"D")</f>
        <v>0</v>
      </c>
      <c r="F79" s="5" t="n">
        <f aca="false">E79-D79</f>
        <v>0</v>
      </c>
    </row>
    <row r="80" customFormat="false" ht="15" hidden="false" customHeight="false" outlineLevel="0" collapsed="false">
      <c r="A80" s="3"/>
      <c r="B80" s="4" t="s">
        <v>9</v>
      </c>
      <c r="C80" s="5" t="n">
        <f aca="false">SUMIFS('HD-147'!D$4:D$10,'HD-147'!$C$4:$C$10,"Google")</f>
        <v>9688.93</v>
      </c>
      <c r="D80" s="5" t="n">
        <f aca="false">SUMIFS('HD-147'!D$4:D$10,'HD-147'!$C$4:$C$10,"Google",'HD-147'!$B$4:$B$10,"R")</f>
        <v>9688.93</v>
      </c>
      <c r="E80" s="5" t="n">
        <f aca="false">SUMIFS('HD-147'!D$4:D$10,'HD-147'!$C$4:$C$10,"Google",'HD-147'!$B$4:$B$10,"D")</f>
        <v>0</v>
      </c>
      <c r="F80" s="5" t="n">
        <f aca="false">E80-D80</f>
        <v>-9688.93</v>
      </c>
    </row>
    <row r="81" customFormat="false" ht="15" hidden="false" customHeight="false" outlineLevel="0" collapsed="false">
      <c r="A81" s="3"/>
      <c r="B81" s="4" t="s">
        <v>10</v>
      </c>
      <c r="C81" s="5" t="n">
        <f aca="false">SUMIFS('HD-147'!D$4:D$10,'HD-147'!$C$4:$C$10,"Facebook")</f>
        <v>1283.57</v>
      </c>
      <c r="D81" s="5" t="n">
        <f aca="false">SUMIFS('HD-147'!D$4:D$10,'HD-147'!$C$4:$C$10,"Facebook",'HD-147'!$B$4:$B$10,"R")</f>
        <v>1283.57</v>
      </c>
      <c r="E81" s="5" t="n">
        <f aca="false">SUMIFS('HD-147'!D$4:D$10,'HD-147'!$C$4:$C$10,"Facebook",'HD-147'!$B$4:$B$10,"D")</f>
        <v>0</v>
      </c>
      <c r="F81" s="5" t="n">
        <f aca="false">E81-D81</f>
        <v>-1283.57</v>
      </c>
    </row>
    <row r="82" customFormat="false" ht="15" hidden="false" customHeight="false" outlineLevel="0" collapsed="false">
      <c r="A82" s="3"/>
      <c r="B82" s="6" t="s">
        <v>11</v>
      </c>
      <c r="C82" s="7" t="n">
        <f aca="false">'HD-147'!D10</f>
        <v>10972.5</v>
      </c>
      <c r="D82" s="7" t="n">
        <f aca="false">'HD-147'!D8</f>
        <v>10972.5</v>
      </c>
      <c r="E82" s="7" t="n">
        <f aca="false">0</f>
        <v>0</v>
      </c>
      <c r="F82" s="7" t="n">
        <f aca="false">E82-D82</f>
        <v>-10972.5</v>
      </c>
    </row>
    <row r="84" customFormat="false" ht="15" hidden="false" customHeight="true" outlineLevel="0" collapsed="false">
      <c r="A84" s="3" t="s">
        <v>27</v>
      </c>
      <c r="B84" s="4" t="s">
        <v>8</v>
      </c>
      <c r="C84" s="5" t="n">
        <f aca="false">SUMIFS('HD-160'!D$4:D$23,'HD-160'!$C$4:$C$23,"CTV")</f>
        <v>2845.33</v>
      </c>
      <c r="D84" s="5" t="n">
        <f aca="false">SUMIFS('HD-160'!D$4:D$23,'HD-160'!$C$4:$C$23,"CTV",'HD-160'!$B$4:$B$23,"R")</f>
        <v>0</v>
      </c>
      <c r="E84" s="5" t="n">
        <f aca="false">SUMIFS('HD-160'!D$4:D$23,'HD-160'!$C$4:$C$23,"CTV",'HD-160'!$B$4:$B$23,"D")</f>
        <v>2845.33</v>
      </c>
      <c r="F84" s="5" t="n">
        <f aca="false">E84-D84</f>
        <v>2845.33</v>
      </c>
    </row>
    <row r="85" customFormat="false" ht="15" hidden="false" customHeight="false" outlineLevel="0" collapsed="false">
      <c r="A85" s="3"/>
      <c r="B85" s="4" t="s">
        <v>9</v>
      </c>
      <c r="C85" s="5" t="n">
        <f aca="false">SUMIFS('HD-160'!D$4:D$23,'HD-160'!$C$4:$C$23,"Google")</f>
        <v>18233.9</v>
      </c>
      <c r="D85" s="5" t="n">
        <f aca="false">SUMIFS('HD-160'!D$4:D$23,'HD-160'!$C$4:$C$23,"Google",'HD-160'!$B$4:$B$23,"R")</f>
        <v>10229.48</v>
      </c>
      <c r="E85" s="5" t="n">
        <f aca="false">SUMIFS('HD-160'!D$4:D$23,'HD-160'!$C$4:$C$23,"Google",'HD-160'!$B$4:$B$23,"D")</f>
        <v>8004.42</v>
      </c>
      <c r="F85" s="5" t="n">
        <f aca="false">E85-D85</f>
        <v>-2225.06</v>
      </c>
    </row>
    <row r="86" customFormat="false" ht="15" hidden="false" customHeight="false" outlineLevel="0" collapsed="false">
      <c r="A86" s="3"/>
      <c r="B86" s="4" t="s">
        <v>10</v>
      </c>
      <c r="C86" s="5" t="n">
        <f aca="false">SUMIFS('HD-160'!D$4:D$23,'HD-160'!$C$4:$C$23,"Facebook")</f>
        <v>4042.35</v>
      </c>
      <c r="D86" s="5" t="n">
        <f aca="false">SUMIFS('HD-160'!D$4:D$23,'HD-160'!$C$4:$C$23,"Facebook",'HD-160'!$B$4:$B$23,"R")</f>
        <v>1790.8</v>
      </c>
      <c r="E86" s="5" t="n">
        <f aca="false">SUMIFS('HD-160'!D$4:D$23,'HD-160'!$C$4:$C$23,"Facebook",'HD-160'!$B$4:$B$23,"D")</f>
        <v>2251.55</v>
      </c>
      <c r="F86" s="5" t="n">
        <f aca="false">E86-D86</f>
        <v>460.75</v>
      </c>
    </row>
    <row r="87" customFormat="false" ht="15" hidden="false" customHeight="false" outlineLevel="0" collapsed="false">
      <c r="A87" s="3"/>
      <c r="B87" s="6" t="s">
        <v>11</v>
      </c>
      <c r="C87" s="7" t="n">
        <f aca="false">'HD-160'!D23</f>
        <v>25121.58</v>
      </c>
      <c r="D87" s="7" t="n">
        <f aca="false">'HD-160'!D11</f>
        <v>12020.28</v>
      </c>
      <c r="E87" s="7" t="n">
        <f aca="false">'HD-160'!D21</f>
        <v>13101.3</v>
      </c>
      <c r="F87" s="7" t="n">
        <f aca="false">E87-D87</f>
        <v>1081.02</v>
      </c>
    </row>
    <row r="89" customFormat="false" ht="15" hidden="false" customHeight="true" outlineLevel="0" collapsed="false">
      <c r="A89" s="3" t="s">
        <v>28</v>
      </c>
      <c r="B89" s="4" t="s">
        <v>8</v>
      </c>
      <c r="C89" s="5" t="n">
        <f aca="false">SUMIFS('HD-170'!D$4:D$13,'HD-170'!$C$4:$C$13,"CTV")</f>
        <v>0</v>
      </c>
      <c r="D89" s="5" t="n">
        <f aca="false">SUMIFS('HD-170'!D$4:D$13,'HD-170'!$C$4:$C$13,"CTV",'HD-170'!$B$4:$B$13,"R")</f>
        <v>0</v>
      </c>
      <c r="E89" s="5" t="n">
        <f aca="false">SUMIFS('HD-170'!D$4:D$13,'HD-170'!$C$4:$C$13,"CTV",'HD-170'!$B$4:$B$13,"D")</f>
        <v>0</v>
      </c>
      <c r="F89" s="5" t="n">
        <f aca="false">E89-D89</f>
        <v>0</v>
      </c>
    </row>
    <row r="90" customFormat="false" ht="15" hidden="false" customHeight="false" outlineLevel="0" collapsed="false">
      <c r="A90" s="3"/>
      <c r="B90" s="4" t="s">
        <v>9</v>
      </c>
      <c r="C90" s="5" t="n">
        <f aca="false">SUMIFS('HD-170'!D$4:D$13,'HD-170'!$C$4:$C$13,"Google")</f>
        <v>9577.31</v>
      </c>
      <c r="D90" s="5" t="n">
        <f aca="false">SUMIFS('HD-170'!D$4:D$13,'HD-170'!$C$4:$C$13,"Google",'HD-170'!$B$4:$B$13,"R")</f>
        <v>9577.31</v>
      </c>
      <c r="E90" s="5" t="n">
        <f aca="false">SUMIFS('HD-170'!D$4:D$13,'HD-170'!$C$4:$C$13,"Google",'HD-170'!$B$4:$B$13,"D")</f>
        <v>0</v>
      </c>
      <c r="F90" s="5" t="n">
        <f aca="false">E90-D90</f>
        <v>-9577.31</v>
      </c>
    </row>
    <row r="91" customFormat="false" ht="15" hidden="false" customHeight="false" outlineLevel="0" collapsed="false">
      <c r="A91" s="3"/>
      <c r="B91" s="4" t="s">
        <v>10</v>
      </c>
      <c r="C91" s="5" t="n">
        <f aca="false">SUMIFS('HD-170'!D$4:D$13,'HD-170'!$C$4:$C$13,"Facebook")</f>
        <v>2431.81</v>
      </c>
      <c r="D91" s="5" t="n">
        <f aca="false">SUMIFS('HD-170'!D$4:D$13,'HD-170'!$C$4:$C$13,"Facebook",'HD-170'!$B$4:$B$13,"R")</f>
        <v>2431.81</v>
      </c>
      <c r="E91" s="5" t="n">
        <f aca="false">SUMIFS('HD-170'!D$4:D$13,'HD-170'!$C$4:$C$13,"Facebook",'HD-170'!$B$4:$B$13,"D")</f>
        <v>0</v>
      </c>
      <c r="F91" s="5" t="n">
        <f aca="false">E91-D91</f>
        <v>-2431.81</v>
      </c>
    </row>
    <row r="92" customFormat="false" ht="15" hidden="false" customHeight="false" outlineLevel="0" collapsed="false">
      <c r="A92" s="3"/>
      <c r="B92" s="6" t="s">
        <v>11</v>
      </c>
      <c r="C92" s="7" t="n">
        <f aca="false">'HD-170'!D13</f>
        <v>12009.12</v>
      </c>
      <c r="D92" s="7" t="n">
        <f aca="false">'HD-170'!D11</f>
        <v>12009.12</v>
      </c>
      <c r="E92" s="7" t="n">
        <f aca="false">0</f>
        <v>0</v>
      </c>
      <c r="F92" s="7" t="n">
        <f aca="false">E92-D92</f>
        <v>-12009.12</v>
      </c>
    </row>
    <row r="94" customFormat="false" ht="15" hidden="false" customHeight="true" outlineLevel="0" collapsed="false">
      <c r="A94" s="3" t="s">
        <v>29</v>
      </c>
      <c r="B94" s="4" t="s">
        <v>8</v>
      </c>
      <c r="C94" s="5" t="n">
        <f aca="false">SUMIFS('HD-187'!D$4:D$10,'HD-187'!$C$4:$C$10,"CTV")</f>
        <v>0</v>
      </c>
      <c r="D94" s="5" t="n">
        <f aca="false">SUMIFS('HD-187'!D$4:D$10,'HD-187'!$C$4:$C$10,"CTV",'HD-187'!$B$4:$B$10,"R")</f>
        <v>0</v>
      </c>
      <c r="E94" s="5" t="n">
        <f aca="false">SUMIFS('HD-187'!D$4:D$10,'HD-187'!$C$4:$C$10,"CTV",'HD-187'!$B$4:$B$10,"D")</f>
        <v>0</v>
      </c>
      <c r="F94" s="5" t="n">
        <f aca="false">E94-D94</f>
        <v>0</v>
      </c>
    </row>
    <row r="95" customFormat="false" ht="15" hidden="false" customHeight="false" outlineLevel="0" collapsed="false">
      <c r="A95" s="3"/>
      <c r="B95" s="4" t="s">
        <v>9</v>
      </c>
      <c r="C95" s="5" t="n">
        <f aca="false">SUMIFS('HD-187'!D$4:D$10,'HD-187'!$C$4:$C$10,"Google")</f>
        <v>9832.05</v>
      </c>
      <c r="D95" s="5" t="n">
        <f aca="false">SUMIFS('HD-187'!D$4:D$10,'HD-187'!$C$4:$C$10,"Google",'HD-187'!$B$4:$B$10,"R")</f>
        <v>9832.05</v>
      </c>
      <c r="E95" s="5" t="n">
        <f aca="false">SUMIFS('HD-187'!D$4:D$10,'HD-187'!$C$4:$C$10,"Google",'HD-187'!$B$4:$B$10,"D")</f>
        <v>0</v>
      </c>
      <c r="F95" s="5" t="n">
        <f aca="false">E95-D95</f>
        <v>-9832.05</v>
      </c>
    </row>
    <row r="96" customFormat="false" ht="15" hidden="false" customHeight="false" outlineLevel="0" collapsed="false">
      <c r="A96" s="3"/>
      <c r="B96" s="4" t="s">
        <v>10</v>
      </c>
      <c r="C96" s="5" t="n">
        <f aca="false">SUMIFS('HD-187'!D$4:D$10,'HD-187'!$C$4:$C$10,"Facebook")</f>
        <v>1239.99</v>
      </c>
      <c r="D96" s="5" t="n">
        <f aca="false">SUMIFS('HD-187'!D$4:D$10,'HD-187'!$C$4:$C$10,"Facebook",'HD-187'!$B$4:$B$10,"R")</f>
        <v>1239.99</v>
      </c>
      <c r="E96" s="5" t="n">
        <f aca="false">SUMIFS('HD-187'!D$4:D$10,'HD-187'!$C$4:$C$10,"Facebook",'HD-187'!$B$4:$B$10,"D")</f>
        <v>0</v>
      </c>
      <c r="F96" s="5" t="n">
        <f aca="false">E96-D96</f>
        <v>-1239.99</v>
      </c>
    </row>
    <row r="97" customFormat="false" ht="15" hidden="false" customHeight="false" outlineLevel="0" collapsed="false">
      <c r="A97" s="3"/>
      <c r="B97" s="6" t="s">
        <v>11</v>
      </c>
      <c r="C97" s="7" t="n">
        <f aca="false">'HD-187'!D10</f>
        <v>11072.04</v>
      </c>
      <c r="D97" s="7" t="n">
        <f aca="false">'HD-187'!D8</f>
        <v>11072.04</v>
      </c>
      <c r="E97" s="7" t="n">
        <f aca="false">0</f>
        <v>0</v>
      </c>
      <c r="F97" s="7" t="n">
        <f aca="false">E97-D97</f>
        <v>-11072.04</v>
      </c>
    </row>
    <row r="99" customFormat="false" ht="15" hidden="false" customHeight="true" outlineLevel="0" collapsed="false">
      <c r="A99" s="3" t="s">
        <v>30</v>
      </c>
      <c r="B99" s="4" t="s">
        <v>8</v>
      </c>
      <c r="C99" s="5" t="n">
        <f aca="false">SUMIFS('SD-6'!D$4:D$20,'SD-6'!$C$4:$C$20,"CTV")</f>
        <v>9.04</v>
      </c>
      <c r="D99" s="5" t="n">
        <f aca="false">SUMIFS('SD-6'!D$4:D$20,'SD-6'!$C$4:$C$20,"CTV",'SD-6'!$B$4:$B$20,"R")</f>
        <v>9.04</v>
      </c>
      <c r="E99" s="5" t="n">
        <f aca="false">SUMIFS('SD-6'!D$4:D$20,'SD-6'!$C$4:$C$20,"CTV",'SD-6'!$B$4:$B$20,"D")</f>
        <v>0</v>
      </c>
      <c r="F99" s="5" t="n">
        <f aca="false">E99-D99</f>
        <v>-9.04</v>
      </c>
    </row>
    <row r="100" customFormat="false" ht="15" hidden="false" customHeight="false" outlineLevel="0" collapsed="false">
      <c r="A100" s="3"/>
      <c r="B100" s="4" t="s">
        <v>9</v>
      </c>
      <c r="C100" s="5" t="n">
        <f aca="false">SUMIFS('SD-6'!D$4:D$20,'SD-6'!$C$4:$C$20,"Google")</f>
        <v>35578.2</v>
      </c>
      <c r="D100" s="5" t="n">
        <f aca="false">SUMIFS('SD-6'!D$4:D$20,'SD-6'!$C$4:$C$20,"Google",'SD-6'!$B$4:$B$20,"R")</f>
        <v>35578.2</v>
      </c>
      <c r="E100" s="5" t="n">
        <f aca="false">SUMIFS('SD-6'!D$4:D$20,'SD-6'!$C$4:$C$20,"Google",'SD-6'!$B$4:$B$20,"D")</f>
        <v>0</v>
      </c>
      <c r="F100" s="5" t="n">
        <f aca="false">E100-D100</f>
        <v>-35578.2</v>
      </c>
    </row>
    <row r="101" customFormat="false" ht="15" hidden="false" customHeight="false" outlineLevel="0" collapsed="false">
      <c r="A101" s="3"/>
      <c r="B101" s="4" t="s">
        <v>10</v>
      </c>
      <c r="C101" s="5" t="n">
        <f aca="false">SUMIFS('SD-6'!D$4:D$20,'SD-6'!$C$4:$C$20,"Facebook")</f>
        <v>57192.31</v>
      </c>
      <c r="D101" s="5" t="n">
        <f aca="false">SUMIFS('SD-6'!D$4:D$20,'SD-6'!$C$4:$C$20,"Facebook",'SD-6'!$B$4:$B$20,"R")</f>
        <v>33435.24</v>
      </c>
      <c r="E101" s="5" t="n">
        <f aca="false">SUMIFS('SD-6'!D$4:D$20,'SD-6'!$C$4:$C$20,"Facebook",'SD-6'!$B$4:$B$20,"D")</f>
        <v>23757.07</v>
      </c>
      <c r="F101" s="5" t="n">
        <f aca="false">E101-D101</f>
        <v>-9678.17000000001</v>
      </c>
    </row>
    <row r="102" customFormat="false" ht="15" hidden="false" customHeight="false" outlineLevel="0" collapsed="false">
      <c r="A102" s="3"/>
      <c r="B102" s="6" t="s">
        <v>11</v>
      </c>
      <c r="C102" s="7" t="n">
        <f aca="false">'SD-6'!D20</f>
        <v>92779.55</v>
      </c>
      <c r="D102" s="7" t="n">
        <f aca="false">'SD-6'!D13</f>
        <v>69022.48</v>
      </c>
      <c r="E102" s="7" t="n">
        <f aca="false">'SD-6'!D18</f>
        <v>23757.07</v>
      </c>
      <c r="F102" s="7" t="n">
        <f aca="false">E102-D102</f>
        <v>-45265.41</v>
      </c>
    </row>
    <row r="104" customFormat="false" ht="15" hidden="false" customHeight="true" outlineLevel="0" collapsed="false">
      <c r="A104" s="3" t="s">
        <v>31</v>
      </c>
      <c r="B104" s="4" t="s">
        <v>8</v>
      </c>
      <c r="C104" s="5" t="n">
        <f aca="false">SUMIFS('SD-16'!D$4:D$20,'SD-16'!$C$4:$C$20,"CTV")</f>
        <v>2940.77</v>
      </c>
      <c r="D104" s="5" t="n">
        <f aca="false">SUMIFS('SD-16'!D$4:D$20,'SD-16'!$C$4:$C$20,"CTV",'SD-16'!$B$4:$B$20,"R")</f>
        <v>2940.77</v>
      </c>
      <c r="E104" s="5" t="n">
        <f aca="false">SUMIFS('SD-16'!D$4:D$20,'SD-16'!$C$4:$C$20,"CTV",'SD-16'!$B$4:$B$20,"D")</f>
        <v>0</v>
      </c>
      <c r="F104" s="5" t="n">
        <f aca="false">E104-D104</f>
        <v>-2940.77</v>
      </c>
    </row>
    <row r="105" customFormat="false" ht="15" hidden="false" customHeight="false" outlineLevel="0" collapsed="false">
      <c r="A105" s="3"/>
      <c r="B105" s="4" t="s">
        <v>9</v>
      </c>
      <c r="C105" s="5" t="n">
        <f aca="false">SUMIFS('SD-16'!D$4:D$20,'SD-16'!$C$4:$C$20,"Google")</f>
        <v>55373.74</v>
      </c>
      <c r="D105" s="5" t="n">
        <f aca="false">SUMIFS('SD-16'!D$4:D$20,'SD-16'!$C$4:$C$20,"Google",'SD-16'!$B$4:$B$20,"R")</f>
        <v>51832.11</v>
      </c>
      <c r="E105" s="5" t="n">
        <f aca="false">SUMIFS('SD-16'!D$4:D$20,'SD-16'!$C$4:$C$20,"Google",'SD-16'!$B$4:$B$20,"D")</f>
        <v>3541.63</v>
      </c>
      <c r="F105" s="5" t="n">
        <f aca="false">E105-D105</f>
        <v>-48290.48</v>
      </c>
    </row>
    <row r="106" customFormat="false" ht="15" hidden="false" customHeight="false" outlineLevel="0" collapsed="false">
      <c r="A106" s="3"/>
      <c r="B106" s="4" t="s">
        <v>10</v>
      </c>
      <c r="C106" s="5" t="n">
        <f aca="false">SUMIFS('SD-16'!D$4:D$20,'SD-16'!$C$4:$C$20,"Facebook")</f>
        <v>28759.66</v>
      </c>
      <c r="D106" s="5" t="n">
        <f aca="false">SUMIFS('SD-16'!D$4:D$20,'SD-16'!$C$4:$C$20,"Facebook",'SD-16'!$B$4:$B$20,"R")</f>
        <v>4687.92</v>
      </c>
      <c r="E106" s="5" t="n">
        <f aca="false">SUMIFS('SD-16'!D$4:D$20,'SD-16'!$C$4:$C$20,"Facebook",'SD-16'!$B$4:$B$20,"D")</f>
        <v>24071.74</v>
      </c>
      <c r="F106" s="5" t="n">
        <f aca="false">E106-D106</f>
        <v>19383.82</v>
      </c>
    </row>
    <row r="107" customFormat="false" ht="15" hidden="false" customHeight="false" outlineLevel="0" collapsed="false">
      <c r="A107" s="3"/>
      <c r="B107" s="6" t="s">
        <v>11</v>
      </c>
      <c r="C107" s="7" t="n">
        <f aca="false">'SD-16'!D20</f>
        <v>87074.17</v>
      </c>
      <c r="D107" s="7" t="n">
        <f aca="false">'SD-16'!D12</f>
        <v>59460.8</v>
      </c>
      <c r="E107" s="7" t="n">
        <f aca="false">'SD-16'!D18</f>
        <v>27613.37</v>
      </c>
      <c r="F107" s="7" t="n">
        <f aca="false">E107-D107</f>
        <v>-31847.43</v>
      </c>
    </row>
    <row r="109" customFormat="false" ht="15" hidden="false" customHeight="true" outlineLevel="0" collapsed="false">
      <c r="A109" s="3" t="s">
        <v>32</v>
      </c>
      <c r="B109" s="4" t="s">
        <v>8</v>
      </c>
      <c r="C109" s="5" t="n">
        <f aca="false">SUMIFS('SD-24'!D$4:D$25,'SD-24'!$C$4:$C$25,"CTV")</f>
        <v>0</v>
      </c>
      <c r="D109" s="5" t="n">
        <f aca="false">SUMIFS('SD-24'!D$4:D$25,'SD-24'!$C$4:$C$25,"CTV",'SD-24'!$B$4:$B$25,"R")</f>
        <v>0</v>
      </c>
      <c r="E109" s="5" t="n">
        <f aca="false">SUMIFS('SD-24'!D$4:D$25,'SD-24'!$C$4:$C$25,"CTV",'SD-24'!$B$4:$B$25,"D")</f>
        <v>0</v>
      </c>
      <c r="F109" s="5" t="n">
        <f aca="false">E109-D109</f>
        <v>0</v>
      </c>
    </row>
    <row r="110" customFormat="false" ht="15" hidden="false" customHeight="false" outlineLevel="0" collapsed="false">
      <c r="A110" s="3"/>
      <c r="B110" s="4" t="s">
        <v>9</v>
      </c>
      <c r="C110" s="5" t="n">
        <f aca="false">SUMIFS('SD-24'!D$4:D$25,'SD-24'!$C$4:$C$25,"Google")</f>
        <v>36743.78</v>
      </c>
      <c r="D110" s="5" t="n">
        <f aca="false">SUMIFS('SD-24'!D$4:D$25,'SD-24'!$C$4:$C$25,"Google",'SD-24'!$B$4:$B$25,"R")</f>
        <v>26543.78</v>
      </c>
      <c r="E110" s="5" t="n">
        <f aca="false">SUMIFS('SD-24'!D$4:D$25,'SD-24'!$C$4:$C$25,"Google",'SD-24'!$B$4:$B$25,"D")</f>
        <v>10200</v>
      </c>
      <c r="F110" s="5" t="n">
        <f aca="false">E110-D110</f>
        <v>-16343.78</v>
      </c>
    </row>
    <row r="111" customFormat="false" ht="15" hidden="false" customHeight="false" outlineLevel="0" collapsed="false">
      <c r="A111" s="3"/>
      <c r="B111" s="4" t="s">
        <v>10</v>
      </c>
      <c r="C111" s="5" t="n">
        <f aca="false">SUMIFS('SD-24'!D$4:D$25,'SD-24'!$C$4:$C$25,"Facebook")</f>
        <v>68589.02</v>
      </c>
      <c r="D111" s="5" t="n">
        <f aca="false">SUMIFS('SD-24'!D$4:D$25,'SD-24'!$C$4:$C$25,"Facebook",'SD-24'!$B$4:$B$25,"R")</f>
        <v>32931.78</v>
      </c>
      <c r="E111" s="5" t="n">
        <f aca="false">SUMIFS('SD-24'!D$4:D$25,'SD-24'!$C$4:$C$25,"Facebook",'SD-24'!$B$4:$B$25,"D")</f>
        <v>35657.24</v>
      </c>
      <c r="F111" s="5" t="n">
        <f aca="false">E111-D111</f>
        <v>2725.46</v>
      </c>
    </row>
    <row r="112" customFormat="false" ht="15" hidden="false" customHeight="false" outlineLevel="0" collapsed="false">
      <c r="A112" s="3"/>
      <c r="B112" s="6" t="s">
        <v>11</v>
      </c>
      <c r="C112" s="7" t="n">
        <f aca="false">'SD-24'!D25</f>
        <v>105332.8</v>
      </c>
      <c r="D112" s="7" t="n">
        <f aca="false">'SD-24'!D14</f>
        <v>59475.56</v>
      </c>
      <c r="E112" s="7" t="n">
        <f aca="false">'SD-24'!D23</f>
        <v>45857.24</v>
      </c>
      <c r="F112" s="7" t="n">
        <f aca="false">E112-D112</f>
        <v>-13618.32</v>
      </c>
    </row>
    <row r="114" customFormat="false" ht="15" hidden="false" customHeight="true" outlineLevel="0" collapsed="false">
      <c r="A114" s="3" t="s">
        <v>33</v>
      </c>
      <c r="B114" s="4" t="s">
        <v>8</v>
      </c>
      <c r="C114" s="5" t="n">
        <f aca="false">SUMIFS('SD-40'!D$4:D$20,'SD-40'!$C$4:$C$20,"CTV")</f>
        <v>0</v>
      </c>
      <c r="D114" s="5" t="n">
        <f aca="false">SUMIFS('SD-40'!D$4:D$20,'SD-40'!$C$4:$C$20,"CTV",'SD-40'!$B$4:$B$20,"R")</f>
        <v>0</v>
      </c>
      <c r="E114" s="5" t="n">
        <f aca="false">SUMIFS('SD-40'!D$4:D$20,'SD-40'!$C$4:$C$20,"CTV",'SD-40'!$B$4:$B$20,"D")</f>
        <v>0</v>
      </c>
      <c r="F114" s="5" t="n">
        <f aca="false">E114-D114</f>
        <v>0</v>
      </c>
    </row>
    <row r="115" customFormat="false" ht="15" hidden="false" customHeight="false" outlineLevel="0" collapsed="false">
      <c r="A115" s="3"/>
      <c r="B115" s="4" t="s">
        <v>9</v>
      </c>
      <c r="C115" s="5" t="n">
        <f aca="false">SUMIFS('SD-40'!D$4:D$20,'SD-40'!$C$4:$C$20,"Google")</f>
        <v>37949.08</v>
      </c>
      <c r="D115" s="5" t="n">
        <f aca="false">SUMIFS('SD-40'!D$4:D$20,'SD-40'!$C$4:$C$20,"Google",'SD-40'!$B$4:$B$20,"R")</f>
        <v>34879.67</v>
      </c>
      <c r="E115" s="5" t="n">
        <f aca="false">SUMIFS('SD-40'!D$4:D$20,'SD-40'!$C$4:$C$20,"Google",'SD-40'!$B$4:$B$20,"D")</f>
        <v>3069.41</v>
      </c>
      <c r="F115" s="5" t="n">
        <f aca="false">E115-D115</f>
        <v>-31810.26</v>
      </c>
    </row>
    <row r="116" customFormat="false" ht="15" hidden="false" customHeight="false" outlineLevel="0" collapsed="false">
      <c r="A116" s="3"/>
      <c r="B116" s="4" t="s">
        <v>10</v>
      </c>
      <c r="C116" s="5" t="n">
        <f aca="false">SUMIFS('SD-40'!D$4:D$20,'SD-40'!$C$4:$C$20,"Facebook")</f>
        <v>34853.09</v>
      </c>
      <c r="D116" s="5" t="n">
        <f aca="false">SUMIFS('SD-40'!D$4:D$20,'SD-40'!$C$4:$C$20,"Facebook",'SD-40'!$B$4:$B$20,"R")</f>
        <v>10878.67</v>
      </c>
      <c r="E116" s="5" t="n">
        <f aca="false">SUMIFS('SD-40'!D$4:D$20,'SD-40'!$C$4:$C$20,"Facebook",'SD-40'!$B$4:$B$20,"D")</f>
        <v>23974.42</v>
      </c>
      <c r="F116" s="5" t="n">
        <f aca="false">E116-D116</f>
        <v>13095.75</v>
      </c>
    </row>
    <row r="117" customFormat="false" ht="15" hidden="false" customHeight="false" outlineLevel="0" collapsed="false">
      <c r="A117" s="3"/>
      <c r="B117" s="6" t="s">
        <v>11</v>
      </c>
      <c r="C117" s="7" t="n">
        <f aca="false">'SD-40'!D20</f>
        <v>72802.17</v>
      </c>
      <c r="D117" s="7" t="n">
        <f aca="false">'SD-40'!D12</f>
        <v>45758.34</v>
      </c>
      <c r="E117" s="7" t="n">
        <f aca="false">'SD-40'!D18</f>
        <v>27043.83</v>
      </c>
      <c r="F117" s="7" t="n">
        <f aca="false">E117-D117</f>
        <v>-18714.51</v>
      </c>
    </row>
    <row r="119" customFormat="false" ht="15" hidden="false" customHeight="false" outlineLevel="0" collapsed="false">
      <c r="A119" s="8" t="s">
        <v>34</v>
      </c>
      <c r="B119" s="8"/>
      <c r="C119" s="9" t="n">
        <f aca="false">C7+C12+C17+C22+C27+C32+C37+C42+C47+C52+C57+C62+C67+C72+C77+C82+C87+C92+C97+C102+C107+C112+C117</f>
        <v>748225.72</v>
      </c>
      <c r="D119" s="9" t="n">
        <f aca="false">D7+D12+D17+D22+D27+D32+D37+D42+D47+D52+D57+D62+D67+D72+D77+D82+D87+D92+D97+D102+D107+D112+D117</f>
        <v>413864.24</v>
      </c>
      <c r="E119" s="9" t="n">
        <f aca="false">E7+E12+E17+E22+E27+E32+E37+E42+E47+E52+E57+E62+E67+E72+E77+E82+E87+E92+E97+E102+E107+E112+E117</f>
        <v>334361.48</v>
      </c>
      <c r="F119" s="9" t="n">
        <f aca="false">E119-D119</f>
        <v>-79502.76</v>
      </c>
    </row>
    <row r="121" customFormat="false" ht="15" hidden="false" customHeight="false" outlineLevel="0" collapsed="false">
      <c r="A121" s="10" t="s">
        <v>35</v>
      </c>
      <c r="B121" s="10"/>
      <c r="C121" s="10"/>
      <c r="D121" s="10"/>
      <c r="E121" s="10"/>
      <c r="F121" s="10"/>
    </row>
  </sheetData>
  <mergeCells count="26">
    <mergeCell ref="A1:F2"/>
    <mergeCell ref="A4:A7"/>
    <mergeCell ref="A9:A12"/>
    <mergeCell ref="A14:A17"/>
    <mergeCell ref="A19:A22"/>
    <mergeCell ref="A24:A27"/>
    <mergeCell ref="A29:A32"/>
    <mergeCell ref="A34:A37"/>
    <mergeCell ref="A39:A42"/>
    <mergeCell ref="A44:A47"/>
    <mergeCell ref="A49:A52"/>
    <mergeCell ref="A54:A57"/>
    <mergeCell ref="A59:A62"/>
    <mergeCell ref="A64:A67"/>
    <mergeCell ref="A69:A72"/>
    <mergeCell ref="A74:A77"/>
    <mergeCell ref="A79:A82"/>
    <mergeCell ref="A84:A87"/>
    <mergeCell ref="A89:A92"/>
    <mergeCell ref="A94:A97"/>
    <mergeCell ref="A99:A102"/>
    <mergeCell ref="A104:A107"/>
    <mergeCell ref="A109:A112"/>
    <mergeCell ref="A114:A117"/>
    <mergeCell ref="A119:B119"/>
    <mergeCell ref="A121:F121"/>
  </mergeCells>
  <conditionalFormatting sqref="F4:F117">
    <cfRule type="colorScale" priority="2">
      <colorScale>
        <cfvo type="min" val="0"/>
        <cfvo type="num" val="0"/>
        <cfvo type="max" val="0"/>
        <color rgb="FFDE5E4E"/>
        <color rgb="FFFFFFFF"/>
        <color rgb="FF3D6A91"/>
      </colorScale>
    </cfRule>
  </conditionalFormatting>
  <hyperlinks>
    <hyperlink ref="A4" r:id="rId1" location="'HD-13'!A1" display="State House District 13"/>
    <hyperlink ref="A9" r:id="rId2" location="'HD-16'!A1" display="State House District 16"/>
    <hyperlink ref="A14" r:id="rId3" location="'HD-18'!A1" display="State House District 18"/>
    <hyperlink ref="A19" r:id="rId4" location="'HD-28'!A1" display="State House District 28"/>
    <hyperlink ref="A24" r:id="rId5" location="'HD-41'!A1" display="State House District 41"/>
    <hyperlink ref="A29" r:id="rId6" location="'HD-44'!A1" display="State House District 44"/>
    <hyperlink ref="A34" r:id="rId7" location="'HD-46'!A1" display="State House District 46"/>
    <hyperlink ref="A39" r:id="rId8" location="'HD-72'!A1" display="State House District 72"/>
    <hyperlink ref="A44" r:id="rId9" location="'HD-88'!A1" display="State House District 88"/>
    <hyperlink ref="A49" r:id="rId10" location="'HD-118'!A1" display="State House District 118"/>
    <hyperlink ref="A54" r:id="rId11" location="'HD-121'!A1" display="State House District 121"/>
    <hyperlink ref="A59" r:id="rId12" location="'HD-137'!A1" display="State House District 137"/>
    <hyperlink ref="A64" r:id="rId13" location="'HD-142'!A1" display="State House District 142"/>
    <hyperlink ref="A69" r:id="rId14" location="'HD-143'!A1" display="State House District 143"/>
    <hyperlink ref="A74" r:id="rId15" location="'HD-144'!A1" display="State House District 144"/>
    <hyperlink ref="A79" r:id="rId16" location="'HD-147'!A1" display="State House District 147"/>
    <hyperlink ref="A84" r:id="rId17" location="'HD-160'!A1" display="State House District 160"/>
    <hyperlink ref="A89" r:id="rId18" location="'HD-170'!A1" display="State House District 170"/>
    <hyperlink ref="A94" r:id="rId19" location="'HD-187'!A1" display="State House District 187"/>
    <hyperlink ref="A99" r:id="rId20" location="'SD-6'!A1" display="State Senate District 6"/>
    <hyperlink ref="A104" r:id="rId21" location="'SD-16'!A1" display="State Senate District 16"/>
    <hyperlink ref="A109" r:id="rId22" location="'SD-24'!A1" display="State Senate District 24"/>
    <hyperlink ref="A114" r:id="rId23" location="'SD-40'!A1" display="State Senate District 4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7415.48</v>
      </c>
      <c r="E4" s="15" t="n">
        <v>0</v>
      </c>
      <c r="F4" s="15" t="n">
        <v>597.5</v>
      </c>
      <c r="G4" s="15" t="n">
        <v>716.94</v>
      </c>
      <c r="H4" s="15" t="n">
        <v>869.7</v>
      </c>
      <c r="I4" s="15" t="n">
        <v>951.82</v>
      </c>
      <c r="J4" s="15" t="n">
        <v>747.68</v>
      </c>
      <c r="K4" s="15" t="n">
        <v>913.66</v>
      </c>
      <c r="L4" s="15" t="n">
        <v>877.79</v>
      </c>
      <c r="M4" s="15" t="n">
        <v>971.83</v>
      </c>
      <c r="N4" s="15" t="n">
        <v>768.56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954.09</v>
      </c>
      <c r="E5" s="15" t="n">
        <v>19.48</v>
      </c>
      <c r="F5" s="15" t="n">
        <v>123.76</v>
      </c>
      <c r="G5" s="15" t="n">
        <v>101.3</v>
      </c>
      <c r="H5" s="15" t="n">
        <v>97.71</v>
      </c>
      <c r="I5" s="15" t="n">
        <v>100.31</v>
      </c>
      <c r="J5" s="15" t="n">
        <v>106.1</v>
      </c>
      <c r="K5" s="15" t="n">
        <v>104.63</v>
      </c>
      <c r="L5" s="15" t="n">
        <v>106.59</v>
      </c>
      <c r="M5" s="15" t="n">
        <v>106.54</v>
      </c>
      <c r="N5" s="15" t="n">
        <v>87.67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8369.57</v>
      </c>
      <c r="E6" s="18" t="n">
        <f aca="false">SUM(E4:E5)</f>
        <v>19.48</v>
      </c>
      <c r="F6" s="18" t="n">
        <f aca="false">SUM(F4:F5)</f>
        <v>721.26</v>
      </c>
      <c r="G6" s="18" t="n">
        <f aca="false">SUM(G4:G5)</f>
        <v>818.24</v>
      </c>
      <c r="H6" s="18" t="n">
        <f aca="false">SUM(H4:H5)</f>
        <v>967.41</v>
      </c>
      <c r="I6" s="18" t="n">
        <f aca="false">SUM(I4:I5)</f>
        <v>1052.13</v>
      </c>
      <c r="J6" s="18" t="n">
        <f aca="false">SUM(J4:J5)</f>
        <v>853.78</v>
      </c>
      <c r="K6" s="18" t="n">
        <f aca="false">SUM(K4:K5)</f>
        <v>1018.29</v>
      </c>
      <c r="L6" s="18" t="n">
        <f aca="false">SUM(L4:L5)</f>
        <v>984.38</v>
      </c>
      <c r="M6" s="18" t="n">
        <f aca="false">SUM(M4:M5)</f>
        <v>1078.37</v>
      </c>
      <c r="N6" s="18" t="n">
        <f aca="false">SUM(N4:N5)</f>
        <v>856.23</v>
      </c>
      <c r="O6" s="18" t="n">
        <f aca="false">SUM(O4:O5)</f>
        <v>0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8369.57</v>
      </c>
      <c r="E8" s="20" t="n">
        <f aca="false">E6</f>
        <v>19.48</v>
      </c>
      <c r="F8" s="20" t="n">
        <f aca="false">F6</f>
        <v>721.26</v>
      </c>
      <c r="G8" s="20" t="n">
        <f aca="false">G6</f>
        <v>818.24</v>
      </c>
      <c r="H8" s="20" t="n">
        <f aca="false">H6</f>
        <v>967.41</v>
      </c>
      <c r="I8" s="20" t="n">
        <f aca="false">I6</f>
        <v>1052.13</v>
      </c>
      <c r="J8" s="20" t="n">
        <f aca="false">J6</f>
        <v>853.78</v>
      </c>
      <c r="K8" s="20" t="n">
        <f aca="false">K6</f>
        <v>1018.29</v>
      </c>
      <c r="L8" s="20" t="n">
        <f aca="false">L6</f>
        <v>984.38</v>
      </c>
      <c r="M8" s="20" t="n">
        <f aca="false">M6</f>
        <v>1078.37</v>
      </c>
      <c r="N8" s="20" t="n">
        <f aca="false">N6</f>
        <v>856.23</v>
      </c>
      <c r="O8" s="20" t="n">
        <f aca="false">O6</f>
        <v>0</v>
      </c>
    </row>
    <row r="10" customFormat="false" ht="15" hidden="false" customHeight="false" outlineLevel="0" collapsed="false">
      <c r="A10" s="21" t="s">
        <v>54</v>
      </c>
      <c r="B10" s="21"/>
      <c r="C10" s="21"/>
      <c r="D10" s="22" t="n">
        <f aca="false">SUM(E10:O10)</f>
        <v>8369.57</v>
      </c>
      <c r="E10" s="22" t="n">
        <f aca="false">E8</f>
        <v>19.48</v>
      </c>
      <c r="F10" s="22" t="n">
        <f aca="false">F8</f>
        <v>721.26</v>
      </c>
      <c r="G10" s="22" t="n">
        <f aca="false">G8</f>
        <v>818.24</v>
      </c>
      <c r="H10" s="22" t="n">
        <f aca="false">H8</f>
        <v>967.41</v>
      </c>
      <c r="I10" s="22" t="n">
        <f aca="false">I8</f>
        <v>1052.13</v>
      </c>
      <c r="J10" s="22" t="n">
        <f aca="false">J8</f>
        <v>853.78</v>
      </c>
      <c r="K10" s="22" t="n">
        <f aca="false">K8</f>
        <v>1018.29</v>
      </c>
      <c r="L10" s="22" t="n">
        <f aca="false">L8</f>
        <v>984.38</v>
      </c>
      <c r="M10" s="22" t="n">
        <f aca="false">M8</f>
        <v>1078.37</v>
      </c>
      <c r="N10" s="22" t="n">
        <f aca="false">N8</f>
        <v>856.23</v>
      </c>
      <c r="O10" s="22" t="n">
        <f aca="false">O8</f>
        <v>0</v>
      </c>
    </row>
    <row r="12" customFormat="false" ht="15" hidden="false" customHeight="false" outlineLevel="0" collapsed="false">
      <c r="A12" s="10" t="s">
        <v>35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mergeCells count="5">
    <mergeCell ref="A1:O2"/>
    <mergeCell ref="A4:A6"/>
    <mergeCell ref="A8:C8"/>
    <mergeCell ref="A10:C10"/>
    <mergeCell ref="A12: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23" t="s">
        <v>56</v>
      </c>
      <c r="B4" s="24" t="s">
        <v>57</v>
      </c>
      <c r="C4" s="25" t="s">
        <v>10</v>
      </c>
      <c r="D4" s="26" t="n">
        <f aca="false">SUM(E4:O4)</f>
        <v>1685.02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0</v>
      </c>
      <c r="J4" s="26" t="n">
        <v>349.72</v>
      </c>
      <c r="K4" s="26" t="n">
        <v>349.74</v>
      </c>
      <c r="L4" s="26" t="n">
        <v>349.8</v>
      </c>
      <c r="M4" s="26" t="n">
        <v>349.84</v>
      </c>
      <c r="N4" s="26" t="n">
        <v>285.92</v>
      </c>
      <c r="O4" s="26" t="n">
        <v>0</v>
      </c>
    </row>
    <row r="5" customFormat="false" ht="15" hidden="false" customHeight="false" outlineLevel="0" collapsed="false">
      <c r="A5" s="23"/>
      <c r="B5" s="27" t="s">
        <v>57</v>
      </c>
      <c r="C5" s="28" t="s">
        <v>58</v>
      </c>
      <c r="D5" s="29" t="n">
        <f aca="false">SUM(E5:O5)</f>
        <v>1685.02</v>
      </c>
      <c r="E5" s="29" t="n">
        <f aca="false">SUM(E4:E4)</f>
        <v>0</v>
      </c>
      <c r="F5" s="29" t="n">
        <f aca="false">SUM(F4:F4)</f>
        <v>0</v>
      </c>
      <c r="G5" s="29" t="n">
        <f aca="false">SUM(G4:G4)</f>
        <v>0</v>
      </c>
      <c r="H5" s="29" t="n">
        <f aca="false">SUM(H4:H4)</f>
        <v>0</v>
      </c>
      <c r="I5" s="29" t="n">
        <f aca="false">SUM(I4:I4)</f>
        <v>0</v>
      </c>
      <c r="J5" s="29" t="n">
        <f aca="false">SUM(J4:J4)</f>
        <v>349.72</v>
      </c>
      <c r="K5" s="29" t="n">
        <f aca="false">SUM(K4:K4)</f>
        <v>349.74</v>
      </c>
      <c r="L5" s="29" t="n">
        <f aca="false">SUM(L4:L4)</f>
        <v>349.8</v>
      </c>
      <c r="M5" s="29" t="n">
        <f aca="false">SUM(M4:M4)</f>
        <v>349.84</v>
      </c>
      <c r="N5" s="29" t="n">
        <f aca="false">SUM(N4:N4)</f>
        <v>285.92</v>
      </c>
      <c r="O5" s="29" t="n">
        <f aca="false">SUM(O4:O4)</f>
        <v>0</v>
      </c>
    </row>
    <row r="7" customFormat="false" ht="15" hidden="false" customHeight="false" outlineLevel="0" collapsed="false">
      <c r="A7" s="23" t="s">
        <v>59</v>
      </c>
      <c r="B7" s="24" t="s">
        <v>57</v>
      </c>
      <c r="C7" s="25" t="s">
        <v>8</v>
      </c>
      <c r="D7" s="26" t="n">
        <f aca="false">SUM(E7:O7)</f>
        <v>510.91</v>
      </c>
      <c r="E7" s="26" t="n">
        <v>0</v>
      </c>
      <c r="F7" s="26" t="n">
        <v>11.06</v>
      </c>
      <c r="G7" s="26" t="n">
        <v>0</v>
      </c>
      <c r="H7" s="26" t="n">
        <v>0</v>
      </c>
      <c r="I7" s="26" t="n">
        <v>61.67</v>
      </c>
      <c r="J7" s="26" t="n">
        <v>88.51</v>
      </c>
      <c r="K7" s="26" t="n">
        <v>91.98</v>
      </c>
      <c r="L7" s="26" t="n">
        <v>86.74</v>
      </c>
      <c r="M7" s="26" t="n">
        <v>94.77</v>
      </c>
      <c r="N7" s="26" t="n">
        <v>76.18</v>
      </c>
      <c r="O7" s="26" t="n">
        <v>0</v>
      </c>
    </row>
    <row r="8" customFormat="false" ht="15" hidden="false" customHeight="false" outlineLevel="0" collapsed="false">
      <c r="A8" s="23"/>
      <c r="B8" s="27" t="s">
        <v>57</v>
      </c>
      <c r="C8" s="28" t="s">
        <v>60</v>
      </c>
      <c r="D8" s="29" t="n">
        <f aca="false">SUM(E8:O8)</f>
        <v>510.91</v>
      </c>
      <c r="E8" s="29" t="n">
        <f aca="false">SUM(E7:E7)</f>
        <v>0</v>
      </c>
      <c r="F8" s="29" t="n">
        <f aca="false">SUM(F7:F7)</f>
        <v>11.06</v>
      </c>
      <c r="G8" s="29" t="n">
        <f aca="false">SUM(G7:G7)</f>
        <v>0</v>
      </c>
      <c r="H8" s="29" t="n">
        <f aca="false">SUM(H7:H7)</f>
        <v>0</v>
      </c>
      <c r="I8" s="29" t="n">
        <f aca="false">SUM(I7:I7)</f>
        <v>61.67</v>
      </c>
      <c r="J8" s="29" t="n">
        <f aca="false">SUM(J7:J7)</f>
        <v>88.51</v>
      </c>
      <c r="K8" s="29" t="n">
        <f aca="false">SUM(K7:K7)</f>
        <v>91.98</v>
      </c>
      <c r="L8" s="29" t="n">
        <f aca="false">SUM(L7:L7)</f>
        <v>86.74</v>
      </c>
      <c r="M8" s="29" t="n">
        <f aca="false">SUM(M7:M7)</f>
        <v>94.77</v>
      </c>
      <c r="N8" s="29" t="n">
        <f aca="false">SUM(N7:N7)</f>
        <v>76.18</v>
      </c>
      <c r="O8" s="29" t="n">
        <f aca="false">SUM(O7:O7)</f>
        <v>0</v>
      </c>
    </row>
    <row r="10" customFormat="false" ht="15" hidden="false" customHeight="false" outlineLevel="0" collapsed="false">
      <c r="A10" s="30" t="s">
        <v>61</v>
      </c>
      <c r="B10" s="30"/>
      <c r="C10" s="30"/>
      <c r="D10" s="31" t="n">
        <f aca="false">SUM(E10:O10)</f>
        <v>2195.93</v>
      </c>
      <c r="E10" s="31" t="n">
        <f aca="false">E5+E8</f>
        <v>0</v>
      </c>
      <c r="F10" s="31" t="n">
        <f aca="false">F5+F8</f>
        <v>11.06</v>
      </c>
      <c r="G10" s="31" t="n">
        <f aca="false">G5+G8</f>
        <v>0</v>
      </c>
      <c r="H10" s="31" t="n">
        <f aca="false">H5+H8</f>
        <v>0</v>
      </c>
      <c r="I10" s="31" t="n">
        <f aca="false">I5+I8</f>
        <v>61.67</v>
      </c>
      <c r="J10" s="31" t="n">
        <f aca="false">J5+J8</f>
        <v>438.23</v>
      </c>
      <c r="K10" s="31" t="n">
        <f aca="false">K5+K8</f>
        <v>441.72</v>
      </c>
      <c r="L10" s="31" t="n">
        <f aca="false">L5+L8</f>
        <v>436.54</v>
      </c>
      <c r="M10" s="31" t="n">
        <f aca="false">M5+M8</f>
        <v>444.61</v>
      </c>
      <c r="N10" s="31" t="n">
        <f aca="false">N5+N8</f>
        <v>362.1</v>
      </c>
      <c r="O10" s="31" t="n">
        <f aca="false">O5+O8</f>
        <v>0</v>
      </c>
    </row>
    <row r="12" customFormat="false" ht="15" hidden="false" customHeight="false" outlineLevel="0" collapsed="false">
      <c r="A12" s="21" t="s">
        <v>54</v>
      </c>
      <c r="B12" s="21"/>
      <c r="C12" s="21"/>
      <c r="D12" s="22" t="n">
        <f aca="false">SUM(E12:O12)</f>
        <v>2195.93</v>
      </c>
      <c r="E12" s="22" t="n">
        <f aca="false">E10</f>
        <v>0</v>
      </c>
      <c r="F12" s="22" t="n">
        <f aca="false">F10</f>
        <v>11.06</v>
      </c>
      <c r="G12" s="22" t="n">
        <f aca="false">G10</f>
        <v>0</v>
      </c>
      <c r="H12" s="22" t="n">
        <f aca="false">H10</f>
        <v>0</v>
      </c>
      <c r="I12" s="22" t="n">
        <f aca="false">I10</f>
        <v>61.67</v>
      </c>
      <c r="J12" s="22" t="n">
        <f aca="false">J10</f>
        <v>438.23</v>
      </c>
      <c r="K12" s="22" t="n">
        <f aca="false">K10</f>
        <v>441.72</v>
      </c>
      <c r="L12" s="22" t="n">
        <f aca="false">L10</f>
        <v>436.54</v>
      </c>
      <c r="M12" s="22" t="n">
        <f aca="false">M10</f>
        <v>444.61</v>
      </c>
      <c r="N12" s="22" t="n">
        <f aca="false">N10</f>
        <v>362.1</v>
      </c>
      <c r="O12" s="22" t="n">
        <f aca="false">O10</f>
        <v>0</v>
      </c>
    </row>
    <row r="14" customFormat="false" ht="15" hidden="false" customHeight="false" outlineLevel="0" collapsed="false">
      <c r="A14" s="10" t="s">
        <v>35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</sheetData>
  <mergeCells count="6">
    <mergeCell ref="A1:O2"/>
    <mergeCell ref="A4:A5"/>
    <mergeCell ref="A7:A8"/>
    <mergeCell ref="A10:C10"/>
    <mergeCell ref="A12:C12"/>
    <mergeCell ref="A14:O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7791.26</v>
      </c>
      <c r="E4" s="15" t="n">
        <v>0</v>
      </c>
      <c r="F4" s="15" t="n">
        <v>614.47</v>
      </c>
      <c r="G4" s="15" t="n">
        <v>1164.55</v>
      </c>
      <c r="H4" s="15" t="n">
        <v>934.99</v>
      </c>
      <c r="I4" s="15" t="n">
        <v>989.41</v>
      </c>
      <c r="J4" s="15" t="n">
        <v>773.49</v>
      </c>
      <c r="K4" s="15" t="n">
        <v>928.81</v>
      </c>
      <c r="L4" s="15" t="n">
        <v>886.92</v>
      </c>
      <c r="M4" s="15" t="n">
        <v>976.29</v>
      </c>
      <c r="N4" s="15" t="n">
        <v>522.33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955.43</v>
      </c>
      <c r="E5" s="15" t="n">
        <v>21.29</v>
      </c>
      <c r="F5" s="15" t="n">
        <v>140.4</v>
      </c>
      <c r="G5" s="15" t="n">
        <v>107.42</v>
      </c>
      <c r="H5" s="15" t="n">
        <v>102.07</v>
      </c>
      <c r="I5" s="15" t="n">
        <v>92</v>
      </c>
      <c r="J5" s="15" t="n">
        <v>98.38</v>
      </c>
      <c r="K5" s="15" t="n">
        <v>97.19</v>
      </c>
      <c r="L5" s="15" t="n">
        <v>99.05</v>
      </c>
      <c r="M5" s="15" t="n">
        <v>99</v>
      </c>
      <c r="N5" s="15" t="n">
        <v>98.63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8746.69</v>
      </c>
      <c r="E6" s="18" t="n">
        <f aca="false">SUM(E4:E5)</f>
        <v>21.29</v>
      </c>
      <c r="F6" s="18" t="n">
        <f aca="false">SUM(F4:F5)</f>
        <v>754.87</v>
      </c>
      <c r="G6" s="18" t="n">
        <f aca="false">SUM(G4:G5)</f>
        <v>1271.97</v>
      </c>
      <c r="H6" s="18" t="n">
        <f aca="false">SUM(H4:H5)</f>
        <v>1037.06</v>
      </c>
      <c r="I6" s="18" t="n">
        <f aca="false">SUM(I4:I5)</f>
        <v>1081.41</v>
      </c>
      <c r="J6" s="18" t="n">
        <f aca="false">SUM(J4:J5)</f>
        <v>871.87</v>
      </c>
      <c r="K6" s="18" t="n">
        <f aca="false">SUM(K4:K5)</f>
        <v>1026</v>
      </c>
      <c r="L6" s="18" t="n">
        <f aca="false">SUM(L4:L5)</f>
        <v>985.97</v>
      </c>
      <c r="M6" s="18" t="n">
        <f aca="false">SUM(M4:M5)</f>
        <v>1075.29</v>
      </c>
      <c r="N6" s="18" t="n">
        <f aca="false">SUM(N4:N5)</f>
        <v>620.96</v>
      </c>
      <c r="O6" s="18" t="n">
        <f aca="false">SUM(O4:O5)</f>
        <v>0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8746.69</v>
      </c>
      <c r="E8" s="20" t="n">
        <f aca="false">E6</f>
        <v>21.29</v>
      </c>
      <c r="F8" s="20" t="n">
        <f aca="false">F6</f>
        <v>754.87</v>
      </c>
      <c r="G8" s="20" t="n">
        <f aca="false">G6</f>
        <v>1271.97</v>
      </c>
      <c r="H8" s="20" t="n">
        <f aca="false">H6</f>
        <v>1037.06</v>
      </c>
      <c r="I8" s="20" t="n">
        <f aca="false">I6</f>
        <v>1081.41</v>
      </c>
      <c r="J8" s="20" t="n">
        <f aca="false">J6</f>
        <v>871.87</v>
      </c>
      <c r="K8" s="20" t="n">
        <f aca="false">K6</f>
        <v>1026</v>
      </c>
      <c r="L8" s="20" t="n">
        <f aca="false">L6</f>
        <v>985.97</v>
      </c>
      <c r="M8" s="20" t="n">
        <f aca="false">M6</f>
        <v>1075.29</v>
      </c>
      <c r="N8" s="20" t="n">
        <f aca="false">N6</f>
        <v>620.96</v>
      </c>
      <c r="O8" s="20" t="n">
        <f aca="false">O6</f>
        <v>0</v>
      </c>
    </row>
    <row r="10" customFormat="false" ht="15" hidden="false" customHeight="false" outlineLevel="0" collapsed="false">
      <c r="A10" s="23" t="s">
        <v>63</v>
      </c>
      <c r="B10" s="24" t="s">
        <v>57</v>
      </c>
      <c r="C10" s="25" t="s">
        <v>8</v>
      </c>
      <c r="D10" s="26" t="n">
        <f aca="false">SUM(E10:O10)</f>
        <v>291.25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131.5</v>
      </c>
      <c r="N10" s="26" t="n">
        <v>159.75</v>
      </c>
      <c r="O10" s="26" t="n">
        <v>0</v>
      </c>
    </row>
    <row r="11" customFormat="false" ht="15" hidden="false" customHeight="false" outlineLevel="0" collapsed="false">
      <c r="A11" s="23"/>
      <c r="B11" s="24" t="s">
        <v>57</v>
      </c>
      <c r="C11" s="25" t="s">
        <v>9</v>
      </c>
      <c r="D11" s="26" t="n">
        <f aca="false">SUM(E11:O11)</f>
        <v>1021.56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187.1</v>
      </c>
      <c r="M11" s="26" t="n">
        <v>471.13</v>
      </c>
      <c r="N11" s="26" t="n">
        <v>363.33</v>
      </c>
      <c r="O11" s="26" t="n">
        <v>0</v>
      </c>
    </row>
    <row r="12" customFormat="false" ht="15" hidden="false" customHeight="false" outlineLevel="0" collapsed="false">
      <c r="A12" s="23"/>
      <c r="B12" s="24" t="s">
        <v>57</v>
      </c>
      <c r="C12" s="25" t="s">
        <v>10</v>
      </c>
      <c r="D12" s="26" t="n">
        <f aca="false">SUM(E12:O12)</f>
        <v>1940.18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450.99</v>
      </c>
      <c r="M12" s="26" t="n">
        <v>848.16</v>
      </c>
      <c r="N12" s="26" t="n">
        <v>641.03</v>
      </c>
      <c r="O12" s="26" t="n">
        <v>0</v>
      </c>
    </row>
    <row r="13" customFormat="false" ht="15" hidden="false" customHeight="false" outlineLevel="0" collapsed="false">
      <c r="A13" s="23"/>
      <c r="B13" s="27" t="s">
        <v>57</v>
      </c>
      <c r="C13" s="28" t="s">
        <v>64</v>
      </c>
      <c r="D13" s="29" t="n">
        <f aca="false">SUM(E13:O13)</f>
        <v>3252.99</v>
      </c>
      <c r="E13" s="29" t="n">
        <f aca="false">SUM(E10:E12)</f>
        <v>0</v>
      </c>
      <c r="F13" s="29" t="n">
        <f aca="false">SUM(F10:F12)</f>
        <v>0</v>
      </c>
      <c r="G13" s="29" t="n">
        <f aca="false">SUM(G10:G12)</f>
        <v>0</v>
      </c>
      <c r="H13" s="29" t="n">
        <f aca="false">SUM(H10:H12)</f>
        <v>0</v>
      </c>
      <c r="I13" s="29" t="n">
        <f aca="false">SUM(I10:I12)</f>
        <v>0</v>
      </c>
      <c r="J13" s="29" t="n">
        <f aca="false">SUM(J10:J12)</f>
        <v>0</v>
      </c>
      <c r="K13" s="29" t="n">
        <f aca="false">SUM(K10:K12)</f>
        <v>0</v>
      </c>
      <c r="L13" s="29" t="n">
        <f aca="false">SUM(L10:L12)</f>
        <v>638.09</v>
      </c>
      <c r="M13" s="29" t="n">
        <f aca="false">SUM(M10:M12)</f>
        <v>1450.79</v>
      </c>
      <c r="N13" s="29" t="n">
        <f aca="false">SUM(N10:N12)</f>
        <v>1164.11</v>
      </c>
      <c r="O13" s="29" t="n">
        <f aca="false">SUM(O10:O12)</f>
        <v>0</v>
      </c>
    </row>
    <row r="15" customFormat="false" ht="15" hidden="false" customHeight="false" outlineLevel="0" collapsed="false">
      <c r="A15" s="30" t="s">
        <v>61</v>
      </c>
      <c r="B15" s="30"/>
      <c r="C15" s="30"/>
      <c r="D15" s="31" t="n">
        <f aca="false">SUM(E15:O15)</f>
        <v>3252.99</v>
      </c>
      <c r="E15" s="31" t="n">
        <f aca="false">E13</f>
        <v>0</v>
      </c>
      <c r="F15" s="31" t="n">
        <f aca="false">F13</f>
        <v>0</v>
      </c>
      <c r="G15" s="31" t="n">
        <f aca="false">G13</f>
        <v>0</v>
      </c>
      <c r="H15" s="31" t="n">
        <f aca="false">H13</f>
        <v>0</v>
      </c>
      <c r="I15" s="31" t="n">
        <f aca="false">I13</f>
        <v>0</v>
      </c>
      <c r="J15" s="31" t="n">
        <f aca="false">J13</f>
        <v>0</v>
      </c>
      <c r="K15" s="31" t="n">
        <f aca="false">K13</f>
        <v>0</v>
      </c>
      <c r="L15" s="31" t="n">
        <f aca="false">L13</f>
        <v>638.09</v>
      </c>
      <c r="M15" s="31" t="n">
        <f aca="false">M13</f>
        <v>1450.79</v>
      </c>
      <c r="N15" s="31" t="n">
        <f aca="false">N13</f>
        <v>1164.11</v>
      </c>
      <c r="O15" s="31" t="n">
        <f aca="false">O13</f>
        <v>0</v>
      </c>
    </row>
    <row r="17" customFormat="false" ht="15" hidden="false" customHeight="false" outlineLevel="0" collapsed="false">
      <c r="A17" s="21" t="s">
        <v>54</v>
      </c>
      <c r="B17" s="21"/>
      <c r="C17" s="21"/>
      <c r="D17" s="22" t="n">
        <f aca="false">SUM(E17:O17)</f>
        <v>11999.68</v>
      </c>
      <c r="E17" s="22" t="n">
        <f aca="false">E8+E15</f>
        <v>21.29</v>
      </c>
      <c r="F17" s="22" t="n">
        <f aca="false">F8+F15</f>
        <v>754.87</v>
      </c>
      <c r="G17" s="22" t="n">
        <f aca="false">G8+G15</f>
        <v>1271.97</v>
      </c>
      <c r="H17" s="22" t="n">
        <f aca="false">H8+H15</f>
        <v>1037.06</v>
      </c>
      <c r="I17" s="22" t="n">
        <f aca="false">I8+I15</f>
        <v>1081.41</v>
      </c>
      <c r="J17" s="22" t="n">
        <f aca="false">J8+J15</f>
        <v>871.87</v>
      </c>
      <c r="K17" s="22" t="n">
        <f aca="false">K8+K15</f>
        <v>1026</v>
      </c>
      <c r="L17" s="22" t="n">
        <f aca="false">L8+L15</f>
        <v>1624.06</v>
      </c>
      <c r="M17" s="22" t="n">
        <f aca="false">M8+M15</f>
        <v>2526.08</v>
      </c>
      <c r="N17" s="22" t="n">
        <f aca="false">N8+N15</f>
        <v>1785.07</v>
      </c>
      <c r="O17" s="22" t="n">
        <f aca="false">O8+O15</f>
        <v>0</v>
      </c>
    </row>
    <row r="19" customFormat="false" ht="15" hidden="false" customHeight="false" outlineLevel="0" collapsed="false">
      <c r="A19" s="10" t="s">
        <v>35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</sheetData>
  <mergeCells count="7">
    <mergeCell ref="A1:O2"/>
    <mergeCell ref="A4:A6"/>
    <mergeCell ref="A8:C8"/>
    <mergeCell ref="A10:A13"/>
    <mergeCell ref="A15:C15"/>
    <mergeCell ref="A17:C17"/>
    <mergeCell ref="A19:O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9958.28</v>
      </c>
      <c r="E4" s="15" t="n">
        <v>0</v>
      </c>
      <c r="F4" s="15" t="n">
        <v>770.87</v>
      </c>
      <c r="G4" s="15" t="n">
        <v>1235.03</v>
      </c>
      <c r="H4" s="15" t="n">
        <v>1161.98</v>
      </c>
      <c r="I4" s="15" t="n">
        <v>1248.9</v>
      </c>
      <c r="J4" s="15" t="n">
        <v>978.8</v>
      </c>
      <c r="K4" s="15" t="n">
        <v>1171.36</v>
      </c>
      <c r="L4" s="15" t="n">
        <v>1131.65</v>
      </c>
      <c r="M4" s="15" t="n">
        <v>1249.28</v>
      </c>
      <c r="N4" s="15" t="n">
        <v>1010.41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1908.57</v>
      </c>
      <c r="E5" s="15" t="n">
        <v>19.78</v>
      </c>
      <c r="F5" s="15" t="n">
        <v>149.7</v>
      </c>
      <c r="G5" s="15" t="n">
        <v>191.68</v>
      </c>
      <c r="H5" s="15" t="n">
        <v>204.68</v>
      </c>
      <c r="I5" s="15" t="n">
        <v>212.42</v>
      </c>
      <c r="J5" s="15" t="n">
        <v>240.22</v>
      </c>
      <c r="K5" s="15" t="n">
        <v>234.61</v>
      </c>
      <c r="L5" s="15" t="n">
        <v>239.09</v>
      </c>
      <c r="M5" s="15" t="n">
        <v>238.97</v>
      </c>
      <c r="N5" s="15" t="n">
        <v>177.42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11866.85</v>
      </c>
      <c r="E6" s="18" t="n">
        <f aca="false">SUM(E4:E5)</f>
        <v>19.78</v>
      </c>
      <c r="F6" s="18" t="n">
        <f aca="false">SUM(F4:F5)</f>
        <v>920.57</v>
      </c>
      <c r="G6" s="18" t="n">
        <f aca="false">SUM(G4:G5)</f>
        <v>1426.71</v>
      </c>
      <c r="H6" s="18" t="n">
        <f aca="false">SUM(H4:H5)</f>
        <v>1366.66</v>
      </c>
      <c r="I6" s="18" t="n">
        <f aca="false">SUM(I4:I5)</f>
        <v>1461.32</v>
      </c>
      <c r="J6" s="18" t="n">
        <f aca="false">SUM(J4:J5)</f>
        <v>1219.02</v>
      </c>
      <c r="K6" s="18" t="n">
        <f aca="false">SUM(K4:K5)</f>
        <v>1405.97</v>
      </c>
      <c r="L6" s="18" t="n">
        <f aca="false">SUM(L4:L5)</f>
        <v>1370.74</v>
      </c>
      <c r="M6" s="18" t="n">
        <f aca="false">SUM(M4:M5)</f>
        <v>1488.25</v>
      </c>
      <c r="N6" s="18" t="n">
        <f aca="false">SUM(N4:N5)</f>
        <v>1187.83</v>
      </c>
      <c r="O6" s="18" t="n">
        <f aca="false">SUM(O4:O5)</f>
        <v>0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11866.85</v>
      </c>
      <c r="E8" s="20" t="n">
        <f aca="false">E6</f>
        <v>19.78</v>
      </c>
      <c r="F8" s="20" t="n">
        <f aca="false">F6</f>
        <v>920.57</v>
      </c>
      <c r="G8" s="20" t="n">
        <f aca="false">G6</f>
        <v>1426.71</v>
      </c>
      <c r="H8" s="20" t="n">
        <f aca="false">H6</f>
        <v>1366.66</v>
      </c>
      <c r="I8" s="20" t="n">
        <f aca="false">I6</f>
        <v>1461.32</v>
      </c>
      <c r="J8" s="20" t="n">
        <f aca="false">J6</f>
        <v>1219.02</v>
      </c>
      <c r="K8" s="20" t="n">
        <f aca="false">K6</f>
        <v>1405.97</v>
      </c>
      <c r="L8" s="20" t="n">
        <f aca="false">L6</f>
        <v>1370.74</v>
      </c>
      <c r="M8" s="20" t="n">
        <f aca="false">M6</f>
        <v>1488.25</v>
      </c>
      <c r="N8" s="20" t="n">
        <f aca="false">N6</f>
        <v>1187.83</v>
      </c>
      <c r="O8" s="20" t="n">
        <f aca="false">O6</f>
        <v>0</v>
      </c>
    </row>
    <row r="10" customFormat="false" ht="15" hidden="false" customHeight="false" outlineLevel="0" collapsed="false">
      <c r="A10" s="21" t="s">
        <v>54</v>
      </c>
      <c r="B10" s="21"/>
      <c r="C10" s="21"/>
      <c r="D10" s="22" t="n">
        <f aca="false">SUM(E10:O10)</f>
        <v>11866.85</v>
      </c>
      <c r="E10" s="22" t="n">
        <f aca="false">E8</f>
        <v>19.78</v>
      </c>
      <c r="F10" s="22" t="n">
        <f aca="false">F8</f>
        <v>920.57</v>
      </c>
      <c r="G10" s="22" t="n">
        <f aca="false">G8</f>
        <v>1426.71</v>
      </c>
      <c r="H10" s="22" t="n">
        <f aca="false">H8</f>
        <v>1366.66</v>
      </c>
      <c r="I10" s="22" t="n">
        <f aca="false">I8</f>
        <v>1461.32</v>
      </c>
      <c r="J10" s="22" t="n">
        <f aca="false">J8</f>
        <v>1219.02</v>
      </c>
      <c r="K10" s="22" t="n">
        <f aca="false">K8</f>
        <v>1405.97</v>
      </c>
      <c r="L10" s="22" t="n">
        <f aca="false">L8</f>
        <v>1370.74</v>
      </c>
      <c r="M10" s="22" t="n">
        <f aca="false">M8</f>
        <v>1488.25</v>
      </c>
      <c r="N10" s="22" t="n">
        <f aca="false">N8</f>
        <v>1187.83</v>
      </c>
      <c r="O10" s="22" t="n">
        <f aca="false">O8</f>
        <v>0</v>
      </c>
    </row>
    <row r="12" customFormat="false" ht="15" hidden="false" customHeight="false" outlineLevel="0" collapsed="false">
      <c r="A12" s="10" t="s">
        <v>35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mergeCells count="5">
    <mergeCell ref="A1:O2"/>
    <mergeCell ref="A4:A6"/>
    <mergeCell ref="A8:C8"/>
    <mergeCell ref="A10:C10"/>
    <mergeCell ref="A12: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7899.44</v>
      </c>
      <c r="E4" s="15" t="n">
        <v>0</v>
      </c>
      <c r="F4" s="15" t="n">
        <v>687.49</v>
      </c>
      <c r="G4" s="15" t="n">
        <v>1058.58</v>
      </c>
      <c r="H4" s="15" t="n">
        <v>912.23</v>
      </c>
      <c r="I4" s="15" t="n">
        <v>969.94</v>
      </c>
      <c r="J4" s="15" t="n">
        <v>764.08</v>
      </c>
      <c r="K4" s="15" t="n">
        <v>910.99</v>
      </c>
      <c r="L4" s="15" t="n">
        <v>871.89</v>
      </c>
      <c r="M4" s="15" t="n">
        <v>962.41</v>
      </c>
      <c r="N4" s="15" t="n">
        <v>761.83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901.12</v>
      </c>
      <c r="E5" s="15" t="n">
        <v>19.04</v>
      </c>
      <c r="F5" s="15" t="n">
        <v>178.29</v>
      </c>
      <c r="G5" s="15" t="n">
        <v>88.98</v>
      </c>
      <c r="H5" s="15" t="n">
        <v>91.48</v>
      </c>
      <c r="I5" s="15" t="n">
        <v>90.65</v>
      </c>
      <c r="J5" s="15" t="n">
        <v>92.58</v>
      </c>
      <c r="K5" s="15" t="n">
        <v>89.52</v>
      </c>
      <c r="L5" s="15" t="n">
        <v>91.22</v>
      </c>
      <c r="M5" s="15" t="n">
        <v>91.17</v>
      </c>
      <c r="N5" s="15" t="n">
        <v>68.19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8800.56</v>
      </c>
      <c r="E6" s="18" t="n">
        <f aca="false">SUM(E4:E5)</f>
        <v>19.04</v>
      </c>
      <c r="F6" s="18" t="n">
        <f aca="false">SUM(F4:F5)</f>
        <v>865.78</v>
      </c>
      <c r="G6" s="18" t="n">
        <f aca="false">SUM(G4:G5)</f>
        <v>1147.56</v>
      </c>
      <c r="H6" s="18" t="n">
        <f aca="false">SUM(H4:H5)</f>
        <v>1003.71</v>
      </c>
      <c r="I6" s="18" t="n">
        <f aca="false">SUM(I4:I5)</f>
        <v>1060.59</v>
      </c>
      <c r="J6" s="18" t="n">
        <f aca="false">SUM(J4:J5)</f>
        <v>856.66</v>
      </c>
      <c r="K6" s="18" t="n">
        <f aca="false">SUM(K4:K5)</f>
        <v>1000.51</v>
      </c>
      <c r="L6" s="18" t="n">
        <f aca="false">SUM(L4:L5)</f>
        <v>963.11</v>
      </c>
      <c r="M6" s="18" t="n">
        <f aca="false">SUM(M4:M5)</f>
        <v>1053.58</v>
      </c>
      <c r="N6" s="18" t="n">
        <f aca="false">SUM(N4:N5)</f>
        <v>830.02</v>
      </c>
      <c r="O6" s="18" t="n">
        <f aca="false">SUM(O4:O5)</f>
        <v>0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8800.56</v>
      </c>
      <c r="E8" s="20" t="n">
        <f aca="false">E6</f>
        <v>19.04</v>
      </c>
      <c r="F8" s="20" t="n">
        <f aca="false">F6</f>
        <v>865.78</v>
      </c>
      <c r="G8" s="20" t="n">
        <f aca="false">G6</f>
        <v>1147.56</v>
      </c>
      <c r="H8" s="20" t="n">
        <f aca="false">H6</f>
        <v>1003.71</v>
      </c>
      <c r="I8" s="20" t="n">
        <f aca="false">I6</f>
        <v>1060.59</v>
      </c>
      <c r="J8" s="20" t="n">
        <f aca="false">J6</f>
        <v>856.66</v>
      </c>
      <c r="K8" s="20" t="n">
        <f aca="false">K6</f>
        <v>1000.51</v>
      </c>
      <c r="L8" s="20" t="n">
        <f aca="false">L6</f>
        <v>963.11</v>
      </c>
      <c r="M8" s="20" t="n">
        <f aca="false">M6</f>
        <v>1053.58</v>
      </c>
      <c r="N8" s="20" t="n">
        <f aca="false">N6</f>
        <v>830.02</v>
      </c>
      <c r="O8" s="20" t="n">
        <f aca="false">O6</f>
        <v>0</v>
      </c>
    </row>
    <row r="10" customFormat="false" ht="15" hidden="false" customHeight="false" outlineLevel="0" collapsed="false">
      <c r="A10" s="21" t="s">
        <v>54</v>
      </c>
      <c r="B10" s="21"/>
      <c r="C10" s="21"/>
      <c r="D10" s="22" t="n">
        <f aca="false">SUM(E10:O10)</f>
        <v>8800.56</v>
      </c>
      <c r="E10" s="22" t="n">
        <f aca="false">E8</f>
        <v>19.04</v>
      </c>
      <c r="F10" s="22" t="n">
        <f aca="false">F8</f>
        <v>865.78</v>
      </c>
      <c r="G10" s="22" t="n">
        <f aca="false">G8</f>
        <v>1147.56</v>
      </c>
      <c r="H10" s="22" t="n">
        <f aca="false">H8</f>
        <v>1003.71</v>
      </c>
      <c r="I10" s="22" t="n">
        <f aca="false">I8</f>
        <v>1060.59</v>
      </c>
      <c r="J10" s="22" t="n">
        <f aca="false">J8</f>
        <v>856.66</v>
      </c>
      <c r="K10" s="22" t="n">
        <f aca="false">K8</f>
        <v>1000.51</v>
      </c>
      <c r="L10" s="22" t="n">
        <f aca="false">L8</f>
        <v>963.11</v>
      </c>
      <c r="M10" s="22" t="n">
        <f aca="false">M8</f>
        <v>1053.58</v>
      </c>
      <c r="N10" s="22" t="n">
        <f aca="false">N8</f>
        <v>830.02</v>
      </c>
      <c r="O10" s="22" t="n">
        <f aca="false">O8</f>
        <v>0</v>
      </c>
    </row>
    <row r="12" customFormat="false" ht="15" hidden="false" customHeight="false" outlineLevel="0" collapsed="false">
      <c r="A12" s="10" t="s">
        <v>35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mergeCells count="5">
    <mergeCell ref="A1:O2"/>
    <mergeCell ref="A4:A6"/>
    <mergeCell ref="A8:C8"/>
    <mergeCell ref="A10:C10"/>
    <mergeCell ref="A12: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9522.05</v>
      </c>
      <c r="E4" s="15" t="n">
        <v>0</v>
      </c>
      <c r="F4" s="15" t="n">
        <v>583.55</v>
      </c>
      <c r="G4" s="15" t="n">
        <v>1048.65</v>
      </c>
      <c r="H4" s="15" t="n">
        <v>1103.33</v>
      </c>
      <c r="I4" s="15" t="n">
        <v>1157.28</v>
      </c>
      <c r="J4" s="15" t="n">
        <v>899.34</v>
      </c>
      <c r="K4" s="15" t="n">
        <v>1085.85</v>
      </c>
      <c r="L4" s="15" t="n">
        <v>1046.72</v>
      </c>
      <c r="M4" s="15" t="n">
        <v>1151.18</v>
      </c>
      <c r="N4" s="15" t="n">
        <v>966.07</v>
      </c>
      <c r="O4" s="15" t="n">
        <v>480.08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1592.3</v>
      </c>
      <c r="E5" s="15" t="n">
        <v>25.3</v>
      </c>
      <c r="F5" s="15" t="n">
        <v>267.66</v>
      </c>
      <c r="G5" s="15" t="n">
        <v>180.88</v>
      </c>
      <c r="H5" s="15" t="n">
        <v>167.3</v>
      </c>
      <c r="I5" s="15" t="n">
        <v>169.56</v>
      </c>
      <c r="J5" s="15" t="n">
        <v>168.34</v>
      </c>
      <c r="K5" s="15" t="n">
        <v>163.43</v>
      </c>
      <c r="L5" s="15" t="n">
        <v>166.53</v>
      </c>
      <c r="M5" s="15" t="n">
        <v>166.44</v>
      </c>
      <c r="N5" s="15" t="n">
        <v>116.86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11114.35</v>
      </c>
      <c r="E6" s="18" t="n">
        <f aca="false">SUM(E4:E5)</f>
        <v>25.3</v>
      </c>
      <c r="F6" s="18" t="n">
        <f aca="false">SUM(F4:F5)</f>
        <v>851.21</v>
      </c>
      <c r="G6" s="18" t="n">
        <f aca="false">SUM(G4:G5)</f>
        <v>1229.53</v>
      </c>
      <c r="H6" s="18" t="n">
        <f aca="false">SUM(H4:H5)</f>
        <v>1270.63</v>
      </c>
      <c r="I6" s="18" t="n">
        <f aca="false">SUM(I4:I5)</f>
        <v>1326.84</v>
      </c>
      <c r="J6" s="18" t="n">
        <f aca="false">SUM(J4:J5)</f>
        <v>1067.68</v>
      </c>
      <c r="K6" s="18" t="n">
        <f aca="false">SUM(K4:K5)</f>
        <v>1249.28</v>
      </c>
      <c r="L6" s="18" t="n">
        <f aca="false">SUM(L4:L5)</f>
        <v>1213.25</v>
      </c>
      <c r="M6" s="18" t="n">
        <f aca="false">SUM(M4:M5)</f>
        <v>1317.62</v>
      </c>
      <c r="N6" s="18" t="n">
        <f aca="false">SUM(N4:N5)</f>
        <v>1082.93</v>
      </c>
      <c r="O6" s="18" t="n">
        <f aca="false">SUM(O4:O5)</f>
        <v>480.08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11114.35</v>
      </c>
      <c r="E8" s="20" t="n">
        <f aca="false">E6</f>
        <v>25.3</v>
      </c>
      <c r="F8" s="20" t="n">
        <f aca="false">F6</f>
        <v>851.21</v>
      </c>
      <c r="G8" s="20" t="n">
        <f aca="false">G6</f>
        <v>1229.53</v>
      </c>
      <c r="H8" s="20" t="n">
        <f aca="false">H6</f>
        <v>1270.63</v>
      </c>
      <c r="I8" s="20" t="n">
        <f aca="false">I6</f>
        <v>1326.84</v>
      </c>
      <c r="J8" s="20" t="n">
        <f aca="false">J6</f>
        <v>1067.68</v>
      </c>
      <c r="K8" s="20" t="n">
        <f aca="false">K6</f>
        <v>1249.28</v>
      </c>
      <c r="L8" s="20" t="n">
        <f aca="false">L6</f>
        <v>1213.25</v>
      </c>
      <c r="M8" s="20" t="n">
        <f aca="false">M6</f>
        <v>1317.62</v>
      </c>
      <c r="N8" s="20" t="n">
        <f aca="false">N6</f>
        <v>1082.93</v>
      </c>
      <c r="O8" s="20" t="n">
        <f aca="false">O6</f>
        <v>480.08</v>
      </c>
    </row>
    <row r="10" customFormat="false" ht="15" hidden="false" customHeight="false" outlineLevel="0" collapsed="false">
      <c r="A10" s="23" t="s">
        <v>63</v>
      </c>
      <c r="B10" s="24" t="s">
        <v>57</v>
      </c>
      <c r="C10" s="25" t="s">
        <v>8</v>
      </c>
      <c r="D10" s="26" t="n">
        <f aca="false">SUM(E10:O10)</f>
        <v>985.79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427.44</v>
      </c>
      <c r="N10" s="26" t="n">
        <v>558.35</v>
      </c>
      <c r="O10" s="26" t="n">
        <v>0</v>
      </c>
    </row>
    <row r="11" customFormat="false" ht="15" hidden="false" customHeight="false" outlineLevel="0" collapsed="false">
      <c r="A11" s="23"/>
      <c r="B11" s="24" t="s">
        <v>57</v>
      </c>
      <c r="C11" s="25" t="s">
        <v>9</v>
      </c>
      <c r="D11" s="26" t="n">
        <f aca="false">SUM(E11:O11)</f>
        <v>3504.84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806.58</v>
      </c>
      <c r="M11" s="26" t="n">
        <v>1505.55</v>
      </c>
      <c r="N11" s="26" t="n">
        <v>1192.71</v>
      </c>
      <c r="O11" s="26" t="n">
        <v>0</v>
      </c>
    </row>
    <row r="12" customFormat="false" ht="15" hidden="false" customHeight="false" outlineLevel="0" collapsed="false">
      <c r="A12" s="23"/>
      <c r="B12" s="24" t="s">
        <v>57</v>
      </c>
      <c r="C12" s="25" t="s">
        <v>10</v>
      </c>
      <c r="D12" s="26" t="n">
        <f aca="false">SUM(E12:O12)</f>
        <v>2100.69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492.55</v>
      </c>
      <c r="M12" s="26" t="n">
        <v>915.9</v>
      </c>
      <c r="N12" s="26" t="n">
        <v>692.24</v>
      </c>
      <c r="O12" s="26" t="n">
        <v>0</v>
      </c>
    </row>
    <row r="13" customFormat="false" ht="15" hidden="false" customHeight="false" outlineLevel="0" collapsed="false">
      <c r="A13" s="23"/>
      <c r="B13" s="27" t="s">
        <v>57</v>
      </c>
      <c r="C13" s="28" t="s">
        <v>64</v>
      </c>
      <c r="D13" s="29" t="n">
        <f aca="false">SUM(E13:O13)</f>
        <v>6591.32</v>
      </c>
      <c r="E13" s="29" t="n">
        <f aca="false">SUM(E10:E12)</f>
        <v>0</v>
      </c>
      <c r="F13" s="29" t="n">
        <f aca="false">SUM(F10:F12)</f>
        <v>0</v>
      </c>
      <c r="G13" s="29" t="n">
        <f aca="false">SUM(G10:G12)</f>
        <v>0</v>
      </c>
      <c r="H13" s="29" t="n">
        <f aca="false">SUM(H10:H12)</f>
        <v>0</v>
      </c>
      <c r="I13" s="29" t="n">
        <f aca="false">SUM(I10:I12)</f>
        <v>0</v>
      </c>
      <c r="J13" s="29" t="n">
        <f aca="false">SUM(J10:J12)</f>
        <v>0</v>
      </c>
      <c r="K13" s="29" t="n">
        <f aca="false">SUM(K10:K12)</f>
        <v>0</v>
      </c>
      <c r="L13" s="29" t="n">
        <f aca="false">SUM(L10:L12)</f>
        <v>1299.13</v>
      </c>
      <c r="M13" s="29" t="n">
        <f aca="false">SUM(M10:M12)</f>
        <v>2848.89</v>
      </c>
      <c r="N13" s="29" t="n">
        <f aca="false">SUM(N10:N12)</f>
        <v>2443.3</v>
      </c>
      <c r="O13" s="29" t="n">
        <f aca="false">SUM(O10:O12)</f>
        <v>0</v>
      </c>
    </row>
    <row r="15" customFormat="false" ht="15" hidden="false" customHeight="false" outlineLevel="0" collapsed="false">
      <c r="A15" s="23" t="s">
        <v>68</v>
      </c>
      <c r="B15" s="24" t="s">
        <v>57</v>
      </c>
      <c r="C15" s="25" t="s">
        <v>10</v>
      </c>
      <c r="D15" s="26" t="n">
        <f aca="false">SUM(E15:O15)</f>
        <v>2109.88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400.81</v>
      </c>
      <c r="K15" s="26" t="n">
        <v>454.81</v>
      </c>
      <c r="L15" s="26" t="n">
        <v>457.8</v>
      </c>
      <c r="M15" s="26" t="n">
        <v>507.79</v>
      </c>
      <c r="N15" s="26" t="n">
        <v>288.67</v>
      </c>
      <c r="O15" s="26" t="n">
        <v>0</v>
      </c>
    </row>
    <row r="16" customFormat="false" ht="15" hidden="false" customHeight="false" outlineLevel="0" collapsed="false">
      <c r="A16" s="23"/>
      <c r="B16" s="27" t="s">
        <v>57</v>
      </c>
      <c r="C16" s="28" t="s">
        <v>69</v>
      </c>
      <c r="D16" s="29" t="n">
        <f aca="false">SUM(E16:O16)</f>
        <v>2109.88</v>
      </c>
      <c r="E16" s="29" t="n">
        <f aca="false">SUM(E15:E15)</f>
        <v>0</v>
      </c>
      <c r="F16" s="29" t="n">
        <f aca="false">SUM(F15:F15)</f>
        <v>0</v>
      </c>
      <c r="G16" s="29" t="n">
        <f aca="false">SUM(G15:G15)</f>
        <v>0</v>
      </c>
      <c r="H16" s="29" t="n">
        <f aca="false">SUM(H15:H15)</f>
        <v>0</v>
      </c>
      <c r="I16" s="29" t="n">
        <f aca="false">SUM(I15:I15)</f>
        <v>0</v>
      </c>
      <c r="J16" s="29" t="n">
        <f aca="false">SUM(J15:J15)</f>
        <v>400.81</v>
      </c>
      <c r="K16" s="29" t="n">
        <f aca="false">SUM(K15:K15)</f>
        <v>454.81</v>
      </c>
      <c r="L16" s="29" t="n">
        <f aca="false">SUM(L15:L15)</f>
        <v>457.8</v>
      </c>
      <c r="M16" s="29" t="n">
        <f aca="false">SUM(M15:M15)</f>
        <v>507.79</v>
      </c>
      <c r="N16" s="29" t="n">
        <f aca="false">SUM(N15:N15)</f>
        <v>288.67</v>
      </c>
      <c r="O16" s="29" t="n">
        <f aca="false">SUM(O15:O15)</f>
        <v>0</v>
      </c>
    </row>
    <row r="18" customFormat="false" ht="15" hidden="false" customHeight="false" outlineLevel="0" collapsed="false">
      <c r="A18" s="23" t="s">
        <v>70</v>
      </c>
      <c r="B18" s="24" t="s">
        <v>57</v>
      </c>
      <c r="C18" s="25" t="s">
        <v>10</v>
      </c>
      <c r="D18" s="26" t="n">
        <f aca="false">SUM(E18:O18)</f>
        <v>838.22</v>
      </c>
      <c r="E18" s="26" t="n">
        <v>33.16</v>
      </c>
      <c r="F18" s="26" t="n">
        <v>141.31</v>
      </c>
      <c r="G18" s="26" t="n">
        <v>125.89</v>
      </c>
      <c r="H18" s="26" t="n">
        <v>125.98</v>
      </c>
      <c r="I18" s="26" t="n">
        <v>129.69</v>
      </c>
      <c r="J18" s="26" t="n">
        <v>132.15</v>
      </c>
      <c r="K18" s="26" t="n">
        <v>125.19</v>
      </c>
      <c r="L18" s="26" t="n">
        <v>24.85</v>
      </c>
      <c r="M18" s="26" t="n">
        <v>0</v>
      </c>
      <c r="N18" s="26" t="n">
        <v>0</v>
      </c>
      <c r="O18" s="26" t="n">
        <v>0</v>
      </c>
    </row>
    <row r="19" customFormat="false" ht="15" hidden="false" customHeight="false" outlineLevel="0" collapsed="false">
      <c r="A19" s="23"/>
      <c r="B19" s="27" t="s">
        <v>57</v>
      </c>
      <c r="C19" s="28" t="s">
        <v>71</v>
      </c>
      <c r="D19" s="29" t="n">
        <f aca="false">SUM(E19:O19)</f>
        <v>838.22</v>
      </c>
      <c r="E19" s="29" t="n">
        <f aca="false">SUM(E18:E18)</f>
        <v>33.16</v>
      </c>
      <c r="F19" s="29" t="n">
        <f aca="false">SUM(F18:F18)</f>
        <v>141.31</v>
      </c>
      <c r="G19" s="29" t="n">
        <f aca="false">SUM(G18:G18)</f>
        <v>125.89</v>
      </c>
      <c r="H19" s="29" t="n">
        <f aca="false">SUM(H18:H18)</f>
        <v>125.98</v>
      </c>
      <c r="I19" s="29" t="n">
        <f aca="false">SUM(I18:I18)</f>
        <v>129.69</v>
      </c>
      <c r="J19" s="29" t="n">
        <f aca="false">SUM(J18:J18)</f>
        <v>132.15</v>
      </c>
      <c r="K19" s="29" t="n">
        <f aca="false">SUM(K18:K18)</f>
        <v>125.19</v>
      </c>
      <c r="L19" s="29" t="n">
        <f aca="false">SUM(L18:L18)</f>
        <v>24.85</v>
      </c>
      <c r="M19" s="29" t="n">
        <f aca="false">SUM(M18:M18)</f>
        <v>0</v>
      </c>
      <c r="N19" s="29" t="n">
        <f aca="false">SUM(N18:N18)</f>
        <v>0</v>
      </c>
      <c r="O19" s="29" t="n">
        <f aca="false">SUM(O18:O18)</f>
        <v>0</v>
      </c>
    </row>
    <row r="21" customFormat="false" ht="15" hidden="false" customHeight="false" outlineLevel="0" collapsed="false">
      <c r="A21" s="30" t="s">
        <v>61</v>
      </c>
      <c r="B21" s="30"/>
      <c r="C21" s="30"/>
      <c r="D21" s="31" t="n">
        <f aca="false">SUM(E21:O21)</f>
        <v>9539.42</v>
      </c>
      <c r="E21" s="31" t="n">
        <f aca="false">E13+E16+E19</f>
        <v>33.16</v>
      </c>
      <c r="F21" s="31" t="n">
        <f aca="false">F13+F16+F19</f>
        <v>141.31</v>
      </c>
      <c r="G21" s="31" t="n">
        <f aca="false">G13+G16+G19</f>
        <v>125.89</v>
      </c>
      <c r="H21" s="31" t="n">
        <f aca="false">H13+H16+H19</f>
        <v>125.98</v>
      </c>
      <c r="I21" s="31" t="n">
        <f aca="false">I13+I16+I19</f>
        <v>129.69</v>
      </c>
      <c r="J21" s="31" t="n">
        <f aca="false">J13+J16+J19</f>
        <v>532.96</v>
      </c>
      <c r="K21" s="31" t="n">
        <f aca="false">K13+K16+K19</f>
        <v>580</v>
      </c>
      <c r="L21" s="31" t="n">
        <f aca="false">L13+L16+L19</f>
        <v>1781.78</v>
      </c>
      <c r="M21" s="31" t="n">
        <f aca="false">M13+M16+M19</f>
        <v>3356.68</v>
      </c>
      <c r="N21" s="31" t="n">
        <f aca="false">N13+N16+N19</f>
        <v>2731.97</v>
      </c>
      <c r="O21" s="31" t="n">
        <f aca="false">O13+O16+O19</f>
        <v>0</v>
      </c>
    </row>
    <row r="23" customFormat="false" ht="15" hidden="false" customHeight="false" outlineLevel="0" collapsed="false">
      <c r="A23" s="21" t="s">
        <v>54</v>
      </c>
      <c r="B23" s="21"/>
      <c r="C23" s="21"/>
      <c r="D23" s="22" t="n">
        <f aca="false">SUM(E23:O23)</f>
        <v>20653.77</v>
      </c>
      <c r="E23" s="22" t="n">
        <f aca="false">E8+E21</f>
        <v>58.46</v>
      </c>
      <c r="F23" s="22" t="n">
        <f aca="false">F8+F21</f>
        <v>992.52</v>
      </c>
      <c r="G23" s="22" t="n">
        <f aca="false">G8+G21</f>
        <v>1355.42</v>
      </c>
      <c r="H23" s="22" t="n">
        <f aca="false">H8+H21</f>
        <v>1396.61</v>
      </c>
      <c r="I23" s="22" t="n">
        <f aca="false">I8+I21</f>
        <v>1456.53</v>
      </c>
      <c r="J23" s="22" t="n">
        <f aca="false">J8+J21</f>
        <v>1600.64</v>
      </c>
      <c r="K23" s="22" t="n">
        <f aca="false">K8+K21</f>
        <v>1829.28</v>
      </c>
      <c r="L23" s="22" t="n">
        <f aca="false">L8+L21</f>
        <v>2995.03</v>
      </c>
      <c r="M23" s="22" t="n">
        <f aca="false">M8+M21</f>
        <v>4674.3</v>
      </c>
      <c r="N23" s="22" t="n">
        <f aca="false">N8+N21</f>
        <v>3814.9</v>
      </c>
      <c r="O23" s="22" t="n">
        <f aca="false">O8+O21</f>
        <v>480.08</v>
      </c>
    </row>
    <row r="25" customFormat="false" ht="15" hidden="false" customHeight="false" outlineLevel="0" collapsed="false">
      <c r="A25" s="10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</sheetData>
  <mergeCells count="9">
    <mergeCell ref="A1:O2"/>
    <mergeCell ref="A4:A6"/>
    <mergeCell ref="A8:C8"/>
    <mergeCell ref="A10:A13"/>
    <mergeCell ref="A15:A16"/>
    <mergeCell ref="A18:A19"/>
    <mergeCell ref="A21:C21"/>
    <mergeCell ref="A23:C23"/>
    <mergeCell ref="A25:O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73</v>
      </c>
      <c r="B4" s="13" t="s">
        <v>51</v>
      </c>
      <c r="C4" s="14" t="s">
        <v>9</v>
      </c>
      <c r="D4" s="15" t="n">
        <f aca="false">SUM(E4:O4)</f>
        <v>600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600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1140.3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49.99</v>
      </c>
      <c r="L5" s="15" t="n">
        <v>401.94</v>
      </c>
      <c r="M5" s="15" t="n">
        <v>400.94</v>
      </c>
      <c r="N5" s="15" t="n">
        <v>287.43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74</v>
      </c>
      <c r="D6" s="18" t="n">
        <f aca="false">SUM(E6:O6)</f>
        <v>1740.3</v>
      </c>
      <c r="E6" s="18" t="n">
        <f aca="false">SUM(E4:E5)</f>
        <v>0</v>
      </c>
      <c r="F6" s="18" t="n">
        <f aca="false">SUM(F4:F5)</f>
        <v>0</v>
      </c>
      <c r="G6" s="18" t="n">
        <f aca="false">SUM(G4:G5)</f>
        <v>0</v>
      </c>
      <c r="H6" s="18" t="n">
        <f aca="false">SUM(H4:H5)</f>
        <v>0</v>
      </c>
      <c r="I6" s="18" t="n">
        <f aca="false">SUM(I4:I5)</f>
        <v>0</v>
      </c>
      <c r="J6" s="18" t="n">
        <f aca="false">SUM(J4:J5)</f>
        <v>0</v>
      </c>
      <c r="K6" s="18" t="n">
        <f aca="false">SUM(K4:K5)</f>
        <v>49.99</v>
      </c>
      <c r="L6" s="18" t="n">
        <f aca="false">SUM(L4:L5)</f>
        <v>401.94</v>
      </c>
      <c r="M6" s="18" t="n">
        <f aca="false">SUM(M4:M5)</f>
        <v>400.94</v>
      </c>
      <c r="N6" s="18" t="n">
        <f aca="false">SUM(N4:N5)</f>
        <v>887.43</v>
      </c>
      <c r="O6" s="18" t="n">
        <f aca="false">SUM(O4:O5)</f>
        <v>0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1740.3</v>
      </c>
      <c r="E8" s="20" t="n">
        <f aca="false">E6</f>
        <v>0</v>
      </c>
      <c r="F8" s="20" t="n">
        <f aca="false">F6</f>
        <v>0</v>
      </c>
      <c r="G8" s="20" t="n">
        <f aca="false">G6</f>
        <v>0</v>
      </c>
      <c r="H8" s="20" t="n">
        <f aca="false">H6</f>
        <v>0</v>
      </c>
      <c r="I8" s="20" t="n">
        <f aca="false">I6</f>
        <v>0</v>
      </c>
      <c r="J8" s="20" t="n">
        <f aca="false">J6</f>
        <v>0</v>
      </c>
      <c r="K8" s="20" t="n">
        <f aca="false">K6</f>
        <v>49.99</v>
      </c>
      <c r="L8" s="20" t="n">
        <f aca="false">L6</f>
        <v>401.94</v>
      </c>
      <c r="M8" s="20" t="n">
        <f aca="false">M6</f>
        <v>400.94</v>
      </c>
      <c r="N8" s="20" t="n">
        <f aca="false">N6</f>
        <v>887.43</v>
      </c>
      <c r="O8" s="20" t="n">
        <f aca="false">O6</f>
        <v>0</v>
      </c>
    </row>
    <row r="10" customFormat="false" ht="15" hidden="false" customHeight="false" outlineLevel="0" collapsed="false">
      <c r="A10" s="21" t="s">
        <v>54</v>
      </c>
      <c r="B10" s="21"/>
      <c r="C10" s="21"/>
      <c r="D10" s="22" t="n">
        <f aca="false">SUM(E10:O10)</f>
        <v>1740.3</v>
      </c>
      <c r="E10" s="22" t="n">
        <f aca="false">E8</f>
        <v>0</v>
      </c>
      <c r="F10" s="22" t="n">
        <f aca="false">F8</f>
        <v>0</v>
      </c>
      <c r="G10" s="22" t="n">
        <f aca="false">G8</f>
        <v>0</v>
      </c>
      <c r="H10" s="22" t="n">
        <f aca="false">H8</f>
        <v>0</v>
      </c>
      <c r="I10" s="22" t="n">
        <f aca="false">I8</f>
        <v>0</v>
      </c>
      <c r="J10" s="22" t="n">
        <f aca="false">J8</f>
        <v>0</v>
      </c>
      <c r="K10" s="22" t="n">
        <f aca="false">K8</f>
        <v>49.99</v>
      </c>
      <c r="L10" s="22" t="n">
        <f aca="false">L8</f>
        <v>401.94</v>
      </c>
      <c r="M10" s="22" t="n">
        <f aca="false">M8</f>
        <v>400.94</v>
      </c>
      <c r="N10" s="22" t="n">
        <f aca="false">N8</f>
        <v>887.43</v>
      </c>
      <c r="O10" s="22" t="n">
        <f aca="false">O8</f>
        <v>0</v>
      </c>
    </row>
    <row r="12" customFormat="false" ht="15" hidden="false" customHeight="false" outlineLevel="0" collapsed="false">
      <c r="A12" s="10" t="s">
        <v>35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mergeCells count="5">
    <mergeCell ref="A1:O2"/>
    <mergeCell ref="A4:A6"/>
    <mergeCell ref="A8:C8"/>
    <mergeCell ref="A10:C10"/>
    <mergeCell ref="A12: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19315.89</v>
      </c>
      <c r="E4" s="15" t="n">
        <v>0</v>
      </c>
      <c r="F4" s="15" t="n">
        <v>627.13</v>
      </c>
      <c r="G4" s="15" t="n">
        <v>1754.4</v>
      </c>
      <c r="H4" s="15" t="n">
        <v>5372.51</v>
      </c>
      <c r="I4" s="15" t="n">
        <v>4436.64</v>
      </c>
      <c r="J4" s="15" t="n">
        <v>1644.58</v>
      </c>
      <c r="K4" s="15" t="n">
        <v>1632.44</v>
      </c>
      <c r="L4" s="15" t="n">
        <v>1468.88</v>
      </c>
      <c r="M4" s="15" t="n">
        <v>1553.29</v>
      </c>
      <c r="N4" s="15" t="n">
        <v>826.02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1093.71</v>
      </c>
      <c r="E5" s="15" t="n">
        <v>2.91</v>
      </c>
      <c r="F5" s="15" t="n">
        <v>55.18</v>
      </c>
      <c r="G5" s="15" t="n">
        <v>131.95</v>
      </c>
      <c r="H5" s="15" t="n">
        <v>144.02</v>
      </c>
      <c r="I5" s="15" t="n">
        <v>140.05</v>
      </c>
      <c r="J5" s="15" t="n">
        <v>137.8</v>
      </c>
      <c r="K5" s="15" t="n">
        <v>133.25</v>
      </c>
      <c r="L5" s="15" t="n">
        <v>135.77</v>
      </c>
      <c r="M5" s="15" t="n">
        <v>135.69</v>
      </c>
      <c r="N5" s="15" t="n">
        <v>77.09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20409.6</v>
      </c>
      <c r="E6" s="18" t="n">
        <f aca="false">SUM(E4:E5)</f>
        <v>2.91</v>
      </c>
      <c r="F6" s="18" t="n">
        <f aca="false">SUM(F4:F5)</f>
        <v>682.31</v>
      </c>
      <c r="G6" s="18" t="n">
        <f aca="false">SUM(G4:G5)</f>
        <v>1886.35</v>
      </c>
      <c r="H6" s="18" t="n">
        <f aca="false">SUM(H4:H5)</f>
        <v>5516.53</v>
      </c>
      <c r="I6" s="18" t="n">
        <f aca="false">SUM(I4:I5)</f>
        <v>4576.69</v>
      </c>
      <c r="J6" s="18" t="n">
        <f aca="false">SUM(J4:J5)</f>
        <v>1782.38</v>
      </c>
      <c r="K6" s="18" t="n">
        <f aca="false">SUM(K4:K5)</f>
        <v>1765.69</v>
      </c>
      <c r="L6" s="18" t="n">
        <f aca="false">SUM(L4:L5)</f>
        <v>1604.65</v>
      </c>
      <c r="M6" s="18" t="n">
        <f aca="false">SUM(M4:M5)</f>
        <v>1688.98</v>
      </c>
      <c r="N6" s="18" t="n">
        <f aca="false">SUM(N4:N5)</f>
        <v>903.11</v>
      </c>
      <c r="O6" s="18" t="n">
        <f aca="false">SUM(O4:O5)</f>
        <v>0</v>
      </c>
    </row>
    <row r="8" customFormat="false" ht="15" hidden="false" customHeight="false" outlineLevel="0" collapsed="false">
      <c r="A8" s="12" t="s">
        <v>76</v>
      </c>
      <c r="B8" s="13" t="s">
        <v>51</v>
      </c>
      <c r="C8" s="14" t="s">
        <v>10</v>
      </c>
      <c r="D8" s="15" t="n">
        <f aca="false">SUM(E8:O8)</f>
        <v>562.47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160.68</v>
      </c>
      <c r="K8" s="15" t="n">
        <v>323.7</v>
      </c>
      <c r="L8" s="15" t="n">
        <v>78.09</v>
      </c>
      <c r="M8" s="15" t="n">
        <v>0</v>
      </c>
      <c r="N8" s="15" t="n">
        <v>0</v>
      </c>
      <c r="O8" s="15" t="n">
        <v>0</v>
      </c>
    </row>
    <row r="9" customFormat="false" ht="15" hidden="false" customHeight="false" outlineLevel="0" collapsed="false">
      <c r="A9" s="12"/>
      <c r="B9" s="16" t="s">
        <v>51</v>
      </c>
      <c r="C9" s="17" t="s">
        <v>77</v>
      </c>
      <c r="D9" s="18" t="n">
        <f aca="false">SUM(E9:O9)</f>
        <v>562.47</v>
      </c>
      <c r="E9" s="18" t="n">
        <f aca="false">SUM(E8:E8)</f>
        <v>0</v>
      </c>
      <c r="F9" s="18" t="n">
        <f aca="false">SUM(F8:F8)</f>
        <v>0</v>
      </c>
      <c r="G9" s="18" t="n">
        <f aca="false">SUM(G8:G8)</f>
        <v>0</v>
      </c>
      <c r="H9" s="18" t="n">
        <f aca="false">SUM(H8:H8)</f>
        <v>0</v>
      </c>
      <c r="I9" s="18" t="n">
        <f aca="false">SUM(I8:I8)</f>
        <v>0</v>
      </c>
      <c r="J9" s="18" t="n">
        <f aca="false">SUM(J8:J8)</f>
        <v>160.68</v>
      </c>
      <c r="K9" s="18" t="n">
        <f aca="false">SUM(K8:K8)</f>
        <v>323.7</v>
      </c>
      <c r="L9" s="18" t="n">
        <f aca="false">SUM(L8:L8)</f>
        <v>78.09</v>
      </c>
      <c r="M9" s="18" t="n">
        <f aca="false">SUM(M8:M8)</f>
        <v>0</v>
      </c>
      <c r="N9" s="18" t="n">
        <f aca="false">SUM(N8:N8)</f>
        <v>0</v>
      </c>
      <c r="O9" s="18" t="n">
        <f aca="false">SUM(O8:O8)</f>
        <v>0</v>
      </c>
    </row>
    <row r="11" customFormat="false" ht="15" hidden="false" customHeight="false" outlineLevel="0" collapsed="false">
      <c r="A11" s="19" t="s">
        <v>53</v>
      </c>
      <c r="B11" s="19"/>
      <c r="C11" s="19"/>
      <c r="D11" s="20" t="n">
        <f aca="false">SUM(E11:O11)</f>
        <v>20972.07</v>
      </c>
      <c r="E11" s="20" t="n">
        <f aca="false">E6+E9</f>
        <v>2.91</v>
      </c>
      <c r="F11" s="20" t="n">
        <f aca="false">F6+F9</f>
        <v>682.31</v>
      </c>
      <c r="G11" s="20" t="n">
        <f aca="false">G6+G9</f>
        <v>1886.35</v>
      </c>
      <c r="H11" s="20" t="n">
        <f aca="false">H6+H9</f>
        <v>5516.53</v>
      </c>
      <c r="I11" s="20" t="n">
        <f aca="false">I6+I9</f>
        <v>4576.69</v>
      </c>
      <c r="J11" s="20" t="n">
        <f aca="false">J6+J9</f>
        <v>1943.06</v>
      </c>
      <c r="K11" s="20" t="n">
        <f aca="false">K6+K9</f>
        <v>2089.39</v>
      </c>
      <c r="L11" s="20" t="n">
        <f aca="false">L6+L9</f>
        <v>1682.74</v>
      </c>
      <c r="M11" s="20" t="n">
        <f aca="false">M6+M9</f>
        <v>1688.98</v>
      </c>
      <c r="N11" s="20" t="n">
        <f aca="false">N6+N9</f>
        <v>903.11</v>
      </c>
      <c r="O11" s="20" t="n">
        <f aca="false">O6+O9</f>
        <v>0</v>
      </c>
    </row>
    <row r="13" customFormat="false" ht="15" hidden="false" customHeight="false" outlineLevel="0" collapsed="false">
      <c r="A13" s="23" t="s">
        <v>78</v>
      </c>
      <c r="B13" s="24" t="s">
        <v>57</v>
      </c>
      <c r="C13" s="25" t="s">
        <v>8</v>
      </c>
      <c r="D13" s="26" t="n">
        <f aca="false">SUM(E13:O13)</f>
        <v>66444.37</v>
      </c>
      <c r="E13" s="26" t="n">
        <v>0</v>
      </c>
      <c r="F13" s="26" t="n">
        <v>0</v>
      </c>
      <c r="G13" s="26" t="n">
        <v>0</v>
      </c>
      <c r="H13" s="26" t="n">
        <v>39.41</v>
      </c>
      <c r="I13" s="26" t="n">
        <v>1991.04</v>
      </c>
      <c r="J13" s="26" t="n">
        <v>9659.66</v>
      </c>
      <c r="K13" s="26" t="n">
        <v>10582.19</v>
      </c>
      <c r="L13" s="26" t="n">
        <v>11032.46</v>
      </c>
      <c r="M13" s="26" t="n">
        <v>18162.59</v>
      </c>
      <c r="N13" s="26" t="n">
        <v>14977.02</v>
      </c>
      <c r="O13" s="26" t="n">
        <v>0</v>
      </c>
    </row>
    <row r="14" customFormat="false" ht="15" hidden="false" customHeight="false" outlineLevel="0" collapsed="false">
      <c r="A14" s="23"/>
      <c r="B14" s="24" t="s">
        <v>57</v>
      </c>
      <c r="C14" s="25" t="s">
        <v>9</v>
      </c>
      <c r="D14" s="26" t="n">
        <f aca="false">SUM(E14:O14)</f>
        <v>2823.41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172.5</v>
      </c>
      <c r="L14" s="26" t="n">
        <v>270.88</v>
      </c>
      <c r="M14" s="26" t="n">
        <v>1141.57</v>
      </c>
      <c r="N14" s="26" t="n">
        <v>1238.46</v>
      </c>
      <c r="O14" s="26" t="n">
        <v>0</v>
      </c>
    </row>
    <row r="15" customFormat="false" ht="15" hidden="false" customHeight="false" outlineLevel="0" collapsed="false">
      <c r="A15" s="23"/>
      <c r="B15" s="24" t="s">
        <v>57</v>
      </c>
      <c r="C15" s="25" t="s">
        <v>10</v>
      </c>
      <c r="D15" s="26" t="n">
        <f aca="false">SUM(E15:O15)</f>
        <v>9468.89</v>
      </c>
      <c r="E15" s="26" t="n">
        <v>49.95</v>
      </c>
      <c r="F15" s="26" t="n">
        <v>649.43</v>
      </c>
      <c r="G15" s="26" t="n">
        <v>673.51</v>
      </c>
      <c r="H15" s="26" t="n">
        <v>607.75</v>
      </c>
      <c r="I15" s="26" t="n">
        <v>1157.27</v>
      </c>
      <c r="J15" s="26" t="n">
        <v>1718.52</v>
      </c>
      <c r="K15" s="26" t="n">
        <v>1439.44</v>
      </c>
      <c r="L15" s="26" t="n">
        <v>1158.05</v>
      </c>
      <c r="M15" s="26" t="n">
        <v>1199.26</v>
      </c>
      <c r="N15" s="26" t="n">
        <v>815.71</v>
      </c>
      <c r="O15" s="26" t="n">
        <v>0</v>
      </c>
    </row>
    <row r="16" customFormat="false" ht="15" hidden="false" customHeight="false" outlineLevel="0" collapsed="false">
      <c r="A16" s="23"/>
      <c r="B16" s="27" t="s">
        <v>57</v>
      </c>
      <c r="C16" s="28" t="s">
        <v>79</v>
      </c>
      <c r="D16" s="29" t="n">
        <f aca="false">SUM(E16:O16)</f>
        <v>78736.67</v>
      </c>
      <c r="E16" s="29" t="n">
        <f aca="false">SUM(E13:E15)</f>
        <v>49.95</v>
      </c>
      <c r="F16" s="29" t="n">
        <f aca="false">SUM(F13:F15)</f>
        <v>649.43</v>
      </c>
      <c r="G16" s="29" t="n">
        <f aca="false">SUM(G13:G15)</f>
        <v>673.51</v>
      </c>
      <c r="H16" s="29" t="n">
        <f aca="false">SUM(H13:H15)</f>
        <v>647.16</v>
      </c>
      <c r="I16" s="29" t="n">
        <f aca="false">SUM(I13:I15)</f>
        <v>3148.31</v>
      </c>
      <c r="J16" s="29" t="n">
        <f aca="false">SUM(J13:J15)</f>
        <v>11378.18</v>
      </c>
      <c r="K16" s="29" t="n">
        <f aca="false">SUM(K13:K15)</f>
        <v>12194.13</v>
      </c>
      <c r="L16" s="29" t="n">
        <f aca="false">SUM(L13:L15)</f>
        <v>12461.39</v>
      </c>
      <c r="M16" s="29" t="n">
        <f aca="false">SUM(M13:M15)</f>
        <v>20503.42</v>
      </c>
      <c r="N16" s="29" t="n">
        <f aca="false">SUM(N13:N15)</f>
        <v>17031.19</v>
      </c>
      <c r="O16" s="29" t="n">
        <f aca="false">SUM(O13:O15)</f>
        <v>0</v>
      </c>
    </row>
    <row r="18" customFormat="false" ht="15" hidden="false" customHeight="false" outlineLevel="0" collapsed="false">
      <c r="A18" s="23" t="s">
        <v>59</v>
      </c>
      <c r="B18" s="24" t="s">
        <v>57</v>
      </c>
      <c r="C18" s="25" t="s">
        <v>8</v>
      </c>
      <c r="D18" s="26" t="n">
        <f aca="false">SUM(E18:O18)</f>
        <v>1229.26</v>
      </c>
      <c r="E18" s="26" t="n">
        <v>0</v>
      </c>
      <c r="F18" s="26" t="n">
        <v>8.98</v>
      </c>
      <c r="G18" s="26" t="n">
        <v>113.98</v>
      </c>
      <c r="H18" s="26" t="n">
        <v>221.59</v>
      </c>
      <c r="I18" s="26" t="n">
        <v>132.31</v>
      </c>
      <c r="J18" s="26" t="n">
        <v>172.18</v>
      </c>
      <c r="K18" s="26" t="n">
        <v>156.78</v>
      </c>
      <c r="L18" s="26" t="n">
        <v>129.14</v>
      </c>
      <c r="M18" s="26" t="n">
        <v>157.48</v>
      </c>
      <c r="N18" s="26" t="n">
        <v>136.82</v>
      </c>
      <c r="O18" s="26" t="n">
        <v>0</v>
      </c>
    </row>
    <row r="19" customFormat="false" ht="15" hidden="false" customHeight="false" outlineLevel="0" collapsed="false">
      <c r="A19" s="23"/>
      <c r="B19" s="27" t="s">
        <v>57</v>
      </c>
      <c r="C19" s="28" t="s">
        <v>60</v>
      </c>
      <c r="D19" s="29" t="n">
        <f aca="false">SUM(E19:O19)</f>
        <v>1229.26</v>
      </c>
      <c r="E19" s="29" t="n">
        <f aca="false">SUM(E18:E18)</f>
        <v>0</v>
      </c>
      <c r="F19" s="29" t="n">
        <f aca="false">SUM(F18:F18)</f>
        <v>8.98</v>
      </c>
      <c r="G19" s="29" t="n">
        <f aca="false">SUM(G18:G18)</f>
        <v>113.98</v>
      </c>
      <c r="H19" s="29" t="n">
        <f aca="false">SUM(H18:H18)</f>
        <v>221.59</v>
      </c>
      <c r="I19" s="29" t="n">
        <f aca="false">SUM(I18:I18)</f>
        <v>132.31</v>
      </c>
      <c r="J19" s="29" t="n">
        <f aca="false">SUM(J18:J18)</f>
        <v>172.18</v>
      </c>
      <c r="K19" s="29" t="n">
        <f aca="false">SUM(K18:K18)</f>
        <v>156.78</v>
      </c>
      <c r="L19" s="29" t="n">
        <f aca="false">SUM(L18:L18)</f>
        <v>129.14</v>
      </c>
      <c r="M19" s="29" t="n">
        <f aca="false">SUM(M18:M18)</f>
        <v>157.48</v>
      </c>
      <c r="N19" s="29" t="n">
        <f aca="false">SUM(N18:N18)</f>
        <v>136.82</v>
      </c>
      <c r="O19" s="29" t="n">
        <f aca="false">SUM(O18:O18)</f>
        <v>0</v>
      </c>
    </row>
    <row r="21" customFormat="false" ht="15" hidden="false" customHeight="false" outlineLevel="0" collapsed="false">
      <c r="A21" s="23" t="s">
        <v>80</v>
      </c>
      <c r="B21" s="24" t="s">
        <v>57</v>
      </c>
      <c r="C21" s="25" t="s">
        <v>10</v>
      </c>
      <c r="D21" s="26" t="n">
        <f aca="false">SUM(E21:O21)</f>
        <v>178.83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127.61</v>
      </c>
      <c r="K21" s="26" t="n">
        <v>51.22</v>
      </c>
      <c r="L21" s="26" t="n">
        <v>0</v>
      </c>
      <c r="M21" s="26" t="n">
        <v>0</v>
      </c>
      <c r="N21" s="26" t="n">
        <v>0</v>
      </c>
      <c r="O21" s="26" t="n">
        <v>0</v>
      </c>
    </row>
    <row r="22" customFormat="false" ht="15" hidden="false" customHeight="false" outlineLevel="0" collapsed="false">
      <c r="A22" s="23"/>
      <c r="B22" s="27" t="s">
        <v>57</v>
      </c>
      <c r="C22" s="28" t="s">
        <v>81</v>
      </c>
      <c r="D22" s="29" t="n">
        <f aca="false">SUM(E22:O22)</f>
        <v>178.83</v>
      </c>
      <c r="E22" s="29" t="n">
        <f aca="false">SUM(E21:E21)</f>
        <v>0</v>
      </c>
      <c r="F22" s="29" t="n">
        <f aca="false">SUM(F21:F21)</f>
        <v>0</v>
      </c>
      <c r="G22" s="29" t="n">
        <f aca="false">SUM(G21:G21)</f>
        <v>0</v>
      </c>
      <c r="H22" s="29" t="n">
        <f aca="false">SUM(H21:H21)</f>
        <v>0</v>
      </c>
      <c r="I22" s="29" t="n">
        <f aca="false">SUM(I21:I21)</f>
        <v>0</v>
      </c>
      <c r="J22" s="29" t="n">
        <f aca="false">SUM(J21:J21)</f>
        <v>127.61</v>
      </c>
      <c r="K22" s="29" t="n">
        <f aca="false">SUM(K21:K21)</f>
        <v>51.22</v>
      </c>
      <c r="L22" s="29" t="n">
        <f aca="false">SUM(L21:L21)</f>
        <v>0</v>
      </c>
      <c r="M22" s="29" t="n">
        <f aca="false">SUM(M21:M21)</f>
        <v>0</v>
      </c>
      <c r="N22" s="29" t="n">
        <f aca="false">SUM(N21:N21)</f>
        <v>0</v>
      </c>
      <c r="O22" s="29" t="n">
        <f aca="false">SUM(O21:O21)</f>
        <v>0</v>
      </c>
    </row>
    <row r="24" customFormat="false" ht="15" hidden="false" customHeight="false" outlineLevel="0" collapsed="false">
      <c r="A24" s="30" t="s">
        <v>61</v>
      </c>
      <c r="B24" s="30"/>
      <c r="C24" s="30"/>
      <c r="D24" s="31" t="n">
        <f aca="false">SUM(E24:O24)</f>
        <v>80144.76</v>
      </c>
      <c r="E24" s="31" t="n">
        <f aca="false">E16+E19+E22</f>
        <v>49.95</v>
      </c>
      <c r="F24" s="31" t="n">
        <f aca="false">F16+F19+F22</f>
        <v>658.41</v>
      </c>
      <c r="G24" s="31" t="n">
        <f aca="false">G16+G19+G22</f>
        <v>787.49</v>
      </c>
      <c r="H24" s="31" t="n">
        <f aca="false">H16+H19+H22</f>
        <v>868.75</v>
      </c>
      <c r="I24" s="31" t="n">
        <f aca="false">I16+I19+I22</f>
        <v>3280.62</v>
      </c>
      <c r="J24" s="31" t="n">
        <f aca="false">J16+J19+J22</f>
        <v>11677.97</v>
      </c>
      <c r="K24" s="31" t="n">
        <f aca="false">K16+K19+K22</f>
        <v>12402.13</v>
      </c>
      <c r="L24" s="31" t="n">
        <f aca="false">L16+L19+L22</f>
        <v>12590.53</v>
      </c>
      <c r="M24" s="31" t="n">
        <f aca="false">M16+M19+M22</f>
        <v>20660.9</v>
      </c>
      <c r="N24" s="31" t="n">
        <f aca="false">N16+N19+N22</f>
        <v>17168.01</v>
      </c>
      <c r="O24" s="31" t="n">
        <f aca="false">O16+O19+O22</f>
        <v>0</v>
      </c>
    </row>
    <row r="26" customFormat="false" ht="15" hidden="false" customHeight="false" outlineLevel="0" collapsed="false">
      <c r="A26" s="21" t="s">
        <v>54</v>
      </c>
      <c r="B26" s="21"/>
      <c r="C26" s="21"/>
      <c r="D26" s="22" t="n">
        <f aca="false">SUM(E26:O26)</f>
        <v>101116.83</v>
      </c>
      <c r="E26" s="22" t="n">
        <f aca="false">E11+E24</f>
        <v>52.86</v>
      </c>
      <c r="F26" s="22" t="n">
        <f aca="false">F11+F24</f>
        <v>1340.72</v>
      </c>
      <c r="G26" s="22" t="n">
        <f aca="false">G11+G24</f>
        <v>2673.84</v>
      </c>
      <c r="H26" s="22" t="n">
        <f aca="false">H11+H24</f>
        <v>6385.28</v>
      </c>
      <c r="I26" s="22" t="n">
        <f aca="false">I11+I24</f>
        <v>7857.31</v>
      </c>
      <c r="J26" s="22" t="n">
        <f aca="false">J11+J24</f>
        <v>13621.03</v>
      </c>
      <c r="K26" s="22" t="n">
        <f aca="false">K11+K24</f>
        <v>14491.52</v>
      </c>
      <c r="L26" s="22" t="n">
        <f aca="false">L11+L24</f>
        <v>14273.27</v>
      </c>
      <c r="M26" s="22" t="n">
        <f aca="false">M11+M24</f>
        <v>22349.88</v>
      </c>
      <c r="N26" s="22" t="n">
        <f aca="false">N11+N24</f>
        <v>18071.12</v>
      </c>
      <c r="O26" s="22" t="n">
        <f aca="false">O11+O24</f>
        <v>0</v>
      </c>
    </row>
    <row r="28" customFormat="false" ht="15" hidden="false" customHeight="false" outlineLevel="0" collapsed="false">
      <c r="A28" s="10" t="s">
        <v>35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</sheetData>
  <mergeCells count="10">
    <mergeCell ref="A1:O2"/>
    <mergeCell ref="A4:A6"/>
    <mergeCell ref="A8:A9"/>
    <mergeCell ref="A11:C11"/>
    <mergeCell ref="A13:A16"/>
    <mergeCell ref="A18:A19"/>
    <mergeCell ref="A21:A22"/>
    <mergeCell ref="A24:C24"/>
    <mergeCell ref="A26:C26"/>
    <mergeCell ref="A28:O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8032.72</v>
      </c>
      <c r="E4" s="15" t="n">
        <v>0</v>
      </c>
      <c r="F4" s="15" t="n">
        <v>537.47</v>
      </c>
      <c r="G4" s="15" t="n">
        <v>1235.26</v>
      </c>
      <c r="H4" s="15" t="n">
        <v>966.33</v>
      </c>
      <c r="I4" s="15" t="n">
        <v>1000.57</v>
      </c>
      <c r="J4" s="15" t="n">
        <v>775.06</v>
      </c>
      <c r="K4" s="15" t="n">
        <v>913.52</v>
      </c>
      <c r="L4" s="15" t="n">
        <v>875.66</v>
      </c>
      <c r="M4" s="15" t="n">
        <v>960.42</v>
      </c>
      <c r="N4" s="15" t="n">
        <v>768.43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672.68</v>
      </c>
      <c r="E5" s="15" t="n">
        <v>2.18</v>
      </c>
      <c r="F5" s="15" t="n">
        <v>34.52</v>
      </c>
      <c r="G5" s="15" t="n">
        <v>83.15</v>
      </c>
      <c r="H5" s="15" t="n">
        <v>86.45</v>
      </c>
      <c r="I5" s="15" t="n">
        <v>86.45</v>
      </c>
      <c r="J5" s="15" t="n">
        <v>85.26</v>
      </c>
      <c r="K5" s="15" t="n">
        <v>82.63</v>
      </c>
      <c r="L5" s="15" t="n">
        <v>84.18</v>
      </c>
      <c r="M5" s="15" t="n">
        <v>84.11</v>
      </c>
      <c r="N5" s="15" t="n">
        <v>43.75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8705.4</v>
      </c>
      <c r="E6" s="18" t="n">
        <f aca="false">SUM(E4:E5)</f>
        <v>2.18</v>
      </c>
      <c r="F6" s="18" t="n">
        <f aca="false">SUM(F4:F5)</f>
        <v>571.99</v>
      </c>
      <c r="G6" s="18" t="n">
        <f aca="false">SUM(G4:G5)</f>
        <v>1318.41</v>
      </c>
      <c r="H6" s="18" t="n">
        <f aca="false">SUM(H4:H5)</f>
        <v>1052.78</v>
      </c>
      <c r="I6" s="18" t="n">
        <f aca="false">SUM(I4:I5)</f>
        <v>1087.02</v>
      </c>
      <c r="J6" s="18" t="n">
        <f aca="false">SUM(J4:J5)</f>
        <v>860.32</v>
      </c>
      <c r="K6" s="18" t="n">
        <f aca="false">SUM(K4:K5)</f>
        <v>996.15</v>
      </c>
      <c r="L6" s="18" t="n">
        <f aca="false">SUM(L4:L5)</f>
        <v>959.84</v>
      </c>
      <c r="M6" s="18" t="n">
        <f aca="false">SUM(M4:M5)</f>
        <v>1044.53</v>
      </c>
      <c r="N6" s="18" t="n">
        <f aca="false">SUM(N4:N5)</f>
        <v>812.18</v>
      </c>
      <c r="O6" s="18" t="n">
        <f aca="false">SUM(O4:O5)</f>
        <v>0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8705.4</v>
      </c>
      <c r="E8" s="20" t="n">
        <f aca="false">E6</f>
        <v>2.18</v>
      </c>
      <c r="F8" s="20" t="n">
        <f aca="false">F6</f>
        <v>571.99</v>
      </c>
      <c r="G8" s="20" t="n">
        <f aca="false">G6</f>
        <v>1318.41</v>
      </c>
      <c r="H8" s="20" t="n">
        <f aca="false">H6</f>
        <v>1052.78</v>
      </c>
      <c r="I8" s="20" t="n">
        <f aca="false">I6</f>
        <v>1087.02</v>
      </c>
      <c r="J8" s="20" t="n">
        <f aca="false">J6</f>
        <v>860.32</v>
      </c>
      <c r="K8" s="20" t="n">
        <f aca="false">K6</f>
        <v>996.15</v>
      </c>
      <c r="L8" s="20" t="n">
        <f aca="false">L6</f>
        <v>959.84</v>
      </c>
      <c r="M8" s="20" t="n">
        <f aca="false">M6</f>
        <v>1044.53</v>
      </c>
      <c r="N8" s="20" t="n">
        <f aca="false">N6</f>
        <v>812.18</v>
      </c>
      <c r="O8" s="20" t="n">
        <f aca="false">O6</f>
        <v>0</v>
      </c>
    </row>
    <row r="10" customFormat="false" ht="15" hidden="false" customHeight="false" outlineLevel="0" collapsed="false">
      <c r="A10" s="23" t="s">
        <v>83</v>
      </c>
      <c r="B10" s="24" t="s">
        <v>57</v>
      </c>
      <c r="C10" s="25" t="s">
        <v>10</v>
      </c>
      <c r="D10" s="26" t="n">
        <f aca="false">SUM(E10:O10)</f>
        <v>3028.6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522.82</v>
      </c>
      <c r="K10" s="26" t="n">
        <v>688.86</v>
      </c>
      <c r="L10" s="26" t="n">
        <v>679.88</v>
      </c>
      <c r="M10" s="26" t="n">
        <v>735.92</v>
      </c>
      <c r="N10" s="26" t="n">
        <v>401.12</v>
      </c>
      <c r="O10" s="26" t="n">
        <v>0</v>
      </c>
    </row>
    <row r="11" customFormat="false" ht="15" hidden="false" customHeight="false" outlineLevel="0" collapsed="false">
      <c r="A11" s="23"/>
      <c r="B11" s="27" t="s">
        <v>57</v>
      </c>
      <c r="C11" s="28" t="s">
        <v>84</v>
      </c>
      <c r="D11" s="29" t="n">
        <f aca="false">SUM(E11:O11)</f>
        <v>3028.6</v>
      </c>
      <c r="E11" s="29" t="n">
        <f aca="false">SUM(E10:E10)</f>
        <v>0</v>
      </c>
      <c r="F11" s="29" t="n">
        <f aca="false">SUM(F10:F10)</f>
        <v>0</v>
      </c>
      <c r="G11" s="29" t="n">
        <f aca="false">SUM(G10:G10)</f>
        <v>0</v>
      </c>
      <c r="H11" s="29" t="n">
        <f aca="false">SUM(H10:H10)</f>
        <v>0</v>
      </c>
      <c r="I11" s="29" t="n">
        <f aca="false">SUM(I10:I10)</f>
        <v>0</v>
      </c>
      <c r="J11" s="29" t="n">
        <f aca="false">SUM(J10:J10)</f>
        <v>522.82</v>
      </c>
      <c r="K11" s="29" t="n">
        <f aca="false">SUM(K10:K10)</f>
        <v>688.86</v>
      </c>
      <c r="L11" s="29" t="n">
        <f aca="false">SUM(L10:L10)</f>
        <v>679.88</v>
      </c>
      <c r="M11" s="29" t="n">
        <f aca="false">SUM(M10:M10)</f>
        <v>735.92</v>
      </c>
      <c r="N11" s="29" t="n">
        <f aca="false">SUM(N10:N10)</f>
        <v>401.12</v>
      </c>
      <c r="O11" s="29" t="n">
        <f aca="false">SUM(O10:O10)</f>
        <v>0</v>
      </c>
    </row>
    <row r="13" customFormat="false" ht="15" hidden="false" customHeight="false" outlineLevel="0" collapsed="false">
      <c r="A13" s="30" t="s">
        <v>61</v>
      </c>
      <c r="B13" s="30"/>
      <c r="C13" s="30"/>
      <c r="D13" s="31" t="n">
        <f aca="false">SUM(E13:O13)</f>
        <v>3028.6</v>
      </c>
      <c r="E13" s="31" t="n">
        <f aca="false">E11</f>
        <v>0</v>
      </c>
      <c r="F13" s="31" t="n">
        <f aca="false">F11</f>
        <v>0</v>
      </c>
      <c r="G13" s="31" t="n">
        <f aca="false">G11</f>
        <v>0</v>
      </c>
      <c r="H13" s="31" t="n">
        <f aca="false">H11</f>
        <v>0</v>
      </c>
      <c r="I13" s="31" t="n">
        <f aca="false">I11</f>
        <v>0</v>
      </c>
      <c r="J13" s="31" t="n">
        <f aca="false">J11</f>
        <v>522.82</v>
      </c>
      <c r="K13" s="31" t="n">
        <f aca="false">K11</f>
        <v>688.86</v>
      </c>
      <c r="L13" s="31" t="n">
        <f aca="false">L11</f>
        <v>679.88</v>
      </c>
      <c r="M13" s="31" t="n">
        <f aca="false">M11</f>
        <v>735.92</v>
      </c>
      <c r="N13" s="31" t="n">
        <f aca="false">N11</f>
        <v>401.12</v>
      </c>
      <c r="O13" s="31" t="n">
        <f aca="false">O11</f>
        <v>0</v>
      </c>
    </row>
    <row r="15" customFormat="false" ht="15" hidden="false" customHeight="false" outlineLevel="0" collapsed="false">
      <c r="A15" s="21" t="s">
        <v>54</v>
      </c>
      <c r="B15" s="21"/>
      <c r="C15" s="21"/>
      <c r="D15" s="22" t="n">
        <f aca="false">SUM(E15:O15)</f>
        <v>11734</v>
      </c>
      <c r="E15" s="22" t="n">
        <f aca="false">E8+E13</f>
        <v>2.18</v>
      </c>
      <c r="F15" s="22" t="n">
        <f aca="false">F8+F13</f>
        <v>571.99</v>
      </c>
      <c r="G15" s="22" t="n">
        <f aca="false">G8+G13</f>
        <v>1318.41</v>
      </c>
      <c r="H15" s="22" t="n">
        <f aca="false">H8+H13</f>
        <v>1052.78</v>
      </c>
      <c r="I15" s="22" t="n">
        <f aca="false">I8+I13</f>
        <v>1087.02</v>
      </c>
      <c r="J15" s="22" t="n">
        <f aca="false">J8+J13</f>
        <v>1383.14</v>
      </c>
      <c r="K15" s="22" t="n">
        <f aca="false">K8+K13</f>
        <v>1685.01</v>
      </c>
      <c r="L15" s="22" t="n">
        <f aca="false">L8+L13</f>
        <v>1639.72</v>
      </c>
      <c r="M15" s="22" t="n">
        <f aca="false">M8+M13</f>
        <v>1780.45</v>
      </c>
      <c r="N15" s="22" t="n">
        <f aca="false">N8+N13</f>
        <v>1213.3</v>
      </c>
      <c r="O15" s="22" t="n">
        <f aca="false">O8+O13</f>
        <v>0</v>
      </c>
    </row>
    <row r="17" customFormat="false" ht="15" hidden="false" customHeight="false" outlineLevel="0" collapsed="false">
      <c r="A17" s="10" t="s">
        <v>35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</sheetData>
  <mergeCells count="7">
    <mergeCell ref="A1:O2"/>
    <mergeCell ref="A4:A6"/>
    <mergeCell ref="A8:C8"/>
    <mergeCell ref="A10:A11"/>
    <mergeCell ref="A13:C13"/>
    <mergeCell ref="A15:C15"/>
    <mergeCell ref="A17:O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8287.54</v>
      </c>
      <c r="E4" s="15" t="n">
        <v>0</v>
      </c>
      <c r="F4" s="15" t="n">
        <v>538.49</v>
      </c>
      <c r="G4" s="15" t="n">
        <v>817.59</v>
      </c>
      <c r="H4" s="15" t="n">
        <v>1100.71</v>
      </c>
      <c r="I4" s="15" t="n">
        <v>1205.71</v>
      </c>
      <c r="J4" s="15" t="n">
        <v>844.57</v>
      </c>
      <c r="K4" s="15" t="n">
        <v>980</v>
      </c>
      <c r="L4" s="15" t="n">
        <v>922.89</v>
      </c>
      <c r="M4" s="15" t="n">
        <v>1005.1</v>
      </c>
      <c r="N4" s="15" t="n">
        <v>872.48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950.53</v>
      </c>
      <c r="E5" s="15" t="n">
        <v>14.09</v>
      </c>
      <c r="F5" s="15" t="n">
        <v>161.08</v>
      </c>
      <c r="G5" s="15" t="n">
        <v>114.69</v>
      </c>
      <c r="H5" s="15" t="n">
        <v>84.49</v>
      </c>
      <c r="I5" s="15" t="n">
        <v>96.57</v>
      </c>
      <c r="J5" s="15" t="n">
        <v>95.27</v>
      </c>
      <c r="K5" s="15" t="n">
        <v>92.07</v>
      </c>
      <c r="L5" s="15" t="n">
        <v>93.84</v>
      </c>
      <c r="M5" s="15" t="n">
        <v>93.79</v>
      </c>
      <c r="N5" s="15" t="n">
        <v>104.64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9238.07</v>
      </c>
      <c r="E6" s="18" t="n">
        <f aca="false">SUM(E4:E5)</f>
        <v>14.09</v>
      </c>
      <c r="F6" s="18" t="n">
        <f aca="false">SUM(F4:F5)</f>
        <v>699.57</v>
      </c>
      <c r="G6" s="18" t="n">
        <f aca="false">SUM(G4:G5)</f>
        <v>932.28</v>
      </c>
      <c r="H6" s="18" t="n">
        <f aca="false">SUM(H4:H5)</f>
        <v>1185.2</v>
      </c>
      <c r="I6" s="18" t="n">
        <f aca="false">SUM(I4:I5)</f>
        <v>1302.28</v>
      </c>
      <c r="J6" s="18" t="n">
        <f aca="false">SUM(J4:J5)</f>
        <v>939.84</v>
      </c>
      <c r="K6" s="18" t="n">
        <f aca="false">SUM(K4:K5)</f>
        <v>1072.07</v>
      </c>
      <c r="L6" s="18" t="n">
        <f aca="false">SUM(L4:L5)</f>
        <v>1016.73</v>
      </c>
      <c r="M6" s="18" t="n">
        <f aca="false">SUM(M4:M5)</f>
        <v>1098.89</v>
      </c>
      <c r="N6" s="18" t="n">
        <f aca="false">SUM(N4:N5)</f>
        <v>977.12</v>
      </c>
      <c r="O6" s="18" t="n">
        <f aca="false">SUM(O4:O5)</f>
        <v>0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9238.07</v>
      </c>
      <c r="E8" s="20" t="n">
        <f aca="false">E6</f>
        <v>14.09</v>
      </c>
      <c r="F8" s="20" t="n">
        <f aca="false">F6</f>
        <v>699.57</v>
      </c>
      <c r="G8" s="20" t="n">
        <f aca="false">G6</f>
        <v>932.28</v>
      </c>
      <c r="H8" s="20" t="n">
        <f aca="false">H6</f>
        <v>1185.2</v>
      </c>
      <c r="I8" s="20" t="n">
        <f aca="false">I6</f>
        <v>1302.28</v>
      </c>
      <c r="J8" s="20" t="n">
        <f aca="false">J6</f>
        <v>939.84</v>
      </c>
      <c r="K8" s="20" t="n">
        <f aca="false">K6</f>
        <v>1072.07</v>
      </c>
      <c r="L8" s="20" t="n">
        <f aca="false">L6</f>
        <v>1016.73</v>
      </c>
      <c r="M8" s="20" t="n">
        <f aca="false">M6</f>
        <v>1098.89</v>
      </c>
      <c r="N8" s="20" t="n">
        <f aca="false">N6</f>
        <v>977.12</v>
      </c>
      <c r="O8" s="20" t="n">
        <f aca="false">O6</f>
        <v>0</v>
      </c>
    </row>
    <row r="10" customFormat="false" ht="15" hidden="false" customHeight="false" outlineLevel="0" collapsed="false">
      <c r="A10" s="23" t="s">
        <v>59</v>
      </c>
      <c r="B10" s="24" t="s">
        <v>57</v>
      </c>
      <c r="C10" s="25" t="s">
        <v>8</v>
      </c>
      <c r="D10" s="26" t="n">
        <f aca="false">SUM(E10:O10)</f>
        <v>2510.2</v>
      </c>
      <c r="E10" s="26" t="n">
        <v>0</v>
      </c>
      <c r="F10" s="26" t="n">
        <v>55.22</v>
      </c>
      <c r="G10" s="26" t="n">
        <v>224.26</v>
      </c>
      <c r="H10" s="26" t="n">
        <v>321.24</v>
      </c>
      <c r="I10" s="26" t="n">
        <v>317.95</v>
      </c>
      <c r="J10" s="26" t="n">
        <v>325</v>
      </c>
      <c r="K10" s="26" t="n">
        <v>310.46</v>
      </c>
      <c r="L10" s="26" t="n">
        <v>312.96</v>
      </c>
      <c r="M10" s="26" t="n">
        <v>347.3</v>
      </c>
      <c r="N10" s="26" t="n">
        <v>295.81</v>
      </c>
      <c r="O10" s="26" t="n">
        <v>0</v>
      </c>
    </row>
    <row r="11" customFormat="false" ht="15" hidden="false" customHeight="false" outlineLevel="0" collapsed="false">
      <c r="A11" s="23"/>
      <c r="B11" s="27" t="s">
        <v>57</v>
      </c>
      <c r="C11" s="28" t="s">
        <v>60</v>
      </c>
      <c r="D11" s="29" t="n">
        <f aca="false">SUM(E11:O11)</f>
        <v>2510.2</v>
      </c>
      <c r="E11" s="29" t="n">
        <f aca="false">SUM(E10:E10)</f>
        <v>0</v>
      </c>
      <c r="F11" s="29" t="n">
        <f aca="false">SUM(F10:F10)</f>
        <v>55.22</v>
      </c>
      <c r="G11" s="29" t="n">
        <f aca="false">SUM(G10:G10)</f>
        <v>224.26</v>
      </c>
      <c r="H11" s="29" t="n">
        <f aca="false">SUM(H10:H10)</f>
        <v>321.24</v>
      </c>
      <c r="I11" s="29" t="n">
        <f aca="false">SUM(I10:I10)</f>
        <v>317.95</v>
      </c>
      <c r="J11" s="29" t="n">
        <f aca="false">SUM(J10:J10)</f>
        <v>325</v>
      </c>
      <c r="K11" s="29" t="n">
        <f aca="false">SUM(K10:K10)</f>
        <v>310.46</v>
      </c>
      <c r="L11" s="29" t="n">
        <f aca="false">SUM(L10:L10)</f>
        <v>312.96</v>
      </c>
      <c r="M11" s="29" t="n">
        <f aca="false">SUM(M10:M10)</f>
        <v>347.3</v>
      </c>
      <c r="N11" s="29" t="n">
        <f aca="false">SUM(N10:N10)</f>
        <v>295.81</v>
      </c>
      <c r="O11" s="29" t="n">
        <f aca="false">SUM(O10:O10)</f>
        <v>0</v>
      </c>
    </row>
    <row r="13" customFormat="false" ht="15" hidden="false" customHeight="false" outlineLevel="0" collapsed="false">
      <c r="A13" s="23" t="s">
        <v>86</v>
      </c>
      <c r="B13" s="24" t="s">
        <v>57</v>
      </c>
      <c r="C13" s="25" t="s">
        <v>9</v>
      </c>
      <c r="D13" s="26" t="n">
        <f aca="false">SUM(E13:O13)</f>
        <v>1595.87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320</v>
      </c>
      <c r="M13" s="26" t="n">
        <v>680</v>
      </c>
      <c r="N13" s="26" t="n">
        <v>566.67</v>
      </c>
      <c r="O13" s="26" t="n">
        <v>29.2</v>
      </c>
    </row>
    <row r="14" customFormat="false" ht="15" hidden="false" customHeight="false" outlineLevel="0" collapsed="false">
      <c r="A14" s="23"/>
      <c r="B14" s="27" t="s">
        <v>57</v>
      </c>
      <c r="C14" s="28" t="s">
        <v>87</v>
      </c>
      <c r="D14" s="29" t="n">
        <f aca="false">SUM(E14:O14)</f>
        <v>1595.87</v>
      </c>
      <c r="E14" s="29" t="n">
        <f aca="false">SUM(E13:E13)</f>
        <v>0</v>
      </c>
      <c r="F14" s="29" t="n">
        <f aca="false">SUM(F13:F13)</f>
        <v>0</v>
      </c>
      <c r="G14" s="29" t="n">
        <f aca="false">SUM(G13:G13)</f>
        <v>0</v>
      </c>
      <c r="H14" s="29" t="n">
        <f aca="false">SUM(H13:H13)</f>
        <v>0</v>
      </c>
      <c r="I14" s="29" t="n">
        <f aca="false">SUM(I13:I13)</f>
        <v>0</v>
      </c>
      <c r="J14" s="29" t="n">
        <f aca="false">SUM(J13:J13)</f>
        <v>0</v>
      </c>
      <c r="K14" s="29" t="n">
        <f aca="false">SUM(K13:K13)</f>
        <v>0</v>
      </c>
      <c r="L14" s="29" t="n">
        <f aca="false">SUM(L13:L13)</f>
        <v>320</v>
      </c>
      <c r="M14" s="29" t="n">
        <f aca="false">SUM(M13:M13)</f>
        <v>680</v>
      </c>
      <c r="N14" s="29" t="n">
        <f aca="false">SUM(N13:N13)</f>
        <v>566.67</v>
      </c>
      <c r="O14" s="29" t="n">
        <f aca="false">SUM(O13:O13)</f>
        <v>29.2</v>
      </c>
    </row>
    <row r="16" customFormat="false" ht="15" hidden="false" customHeight="false" outlineLevel="0" collapsed="false">
      <c r="A16" s="30" t="s">
        <v>61</v>
      </c>
      <c r="B16" s="30"/>
      <c r="C16" s="30"/>
      <c r="D16" s="31" t="n">
        <f aca="false">SUM(E16:O16)</f>
        <v>4106.07</v>
      </c>
      <c r="E16" s="31" t="n">
        <f aca="false">E11+E14</f>
        <v>0</v>
      </c>
      <c r="F16" s="31" t="n">
        <f aca="false">F11+F14</f>
        <v>55.22</v>
      </c>
      <c r="G16" s="31" t="n">
        <f aca="false">G11+G14</f>
        <v>224.26</v>
      </c>
      <c r="H16" s="31" t="n">
        <f aca="false">H11+H14</f>
        <v>321.24</v>
      </c>
      <c r="I16" s="31" t="n">
        <f aca="false">I11+I14</f>
        <v>317.95</v>
      </c>
      <c r="J16" s="31" t="n">
        <f aca="false">J11+J14</f>
        <v>325</v>
      </c>
      <c r="K16" s="31" t="n">
        <f aca="false">K11+K14</f>
        <v>310.46</v>
      </c>
      <c r="L16" s="31" t="n">
        <f aca="false">L11+L14</f>
        <v>632.96</v>
      </c>
      <c r="M16" s="31" t="n">
        <f aca="false">M11+M14</f>
        <v>1027.3</v>
      </c>
      <c r="N16" s="31" t="n">
        <f aca="false">N11+N14</f>
        <v>862.48</v>
      </c>
      <c r="O16" s="31" t="n">
        <f aca="false">O11+O14</f>
        <v>29.2</v>
      </c>
    </row>
    <row r="18" customFormat="false" ht="15" hidden="false" customHeight="false" outlineLevel="0" collapsed="false">
      <c r="A18" s="21" t="s">
        <v>54</v>
      </c>
      <c r="B18" s="21"/>
      <c r="C18" s="21"/>
      <c r="D18" s="22" t="n">
        <f aca="false">SUM(E18:O18)</f>
        <v>13344.14</v>
      </c>
      <c r="E18" s="22" t="n">
        <f aca="false">E8+E16</f>
        <v>14.09</v>
      </c>
      <c r="F18" s="22" t="n">
        <f aca="false">F8+F16</f>
        <v>754.79</v>
      </c>
      <c r="G18" s="22" t="n">
        <f aca="false">G8+G16</f>
        <v>1156.54</v>
      </c>
      <c r="H18" s="22" t="n">
        <f aca="false">H8+H16</f>
        <v>1506.44</v>
      </c>
      <c r="I18" s="22" t="n">
        <f aca="false">I8+I16</f>
        <v>1620.23</v>
      </c>
      <c r="J18" s="22" t="n">
        <f aca="false">J8+J16</f>
        <v>1264.84</v>
      </c>
      <c r="K18" s="22" t="n">
        <f aca="false">K8+K16</f>
        <v>1382.53</v>
      </c>
      <c r="L18" s="22" t="n">
        <f aca="false">L8+L16</f>
        <v>1649.69</v>
      </c>
      <c r="M18" s="22" t="n">
        <f aca="false">M8+M16</f>
        <v>2126.19</v>
      </c>
      <c r="N18" s="22" t="n">
        <f aca="false">N8+N16</f>
        <v>1839.6</v>
      </c>
      <c r="O18" s="22" t="n">
        <f aca="false">O8+O16</f>
        <v>29.2</v>
      </c>
    </row>
    <row r="20" customFormat="false" ht="15" hidden="false" customHeight="false" outlineLevel="0" collapsed="false">
      <c r="A20" s="10" t="s">
        <v>35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8">
    <mergeCell ref="A1:O2"/>
    <mergeCell ref="A4:A6"/>
    <mergeCell ref="A8:C8"/>
    <mergeCell ref="A10:A11"/>
    <mergeCell ref="A13:A14"/>
    <mergeCell ref="A16:C16"/>
    <mergeCell ref="A18:C18"/>
    <mergeCell ref="A20:O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23" t="s">
        <v>89</v>
      </c>
      <c r="B4" s="24" t="s">
        <v>57</v>
      </c>
      <c r="C4" s="25" t="s">
        <v>8</v>
      </c>
      <c r="D4" s="26" t="n">
        <f aca="false">SUM(E4:O4)</f>
        <v>7904.74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0</v>
      </c>
      <c r="J4" s="26" t="n">
        <v>0</v>
      </c>
      <c r="K4" s="26" t="n">
        <v>0</v>
      </c>
      <c r="L4" s="26" t="n">
        <v>7577.94</v>
      </c>
      <c r="M4" s="26" t="n">
        <v>307.13</v>
      </c>
      <c r="N4" s="26" t="n">
        <v>19.67</v>
      </c>
      <c r="O4" s="26" t="n">
        <v>0</v>
      </c>
    </row>
    <row r="5" customFormat="false" ht="15" hidden="false" customHeight="false" outlineLevel="0" collapsed="false">
      <c r="A5" s="23"/>
      <c r="B5" s="24" t="s">
        <v>57</v>
      </c>
      <c r="C5" s="25" t="s">
        <v>9</v>
      </c>
      <c r="D5" s="26" t="n">
        <f aca="false">SUM(E5:O5)</f>
        <v>15100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100</v>
      </c>
      <c r="L5" s="26" t="n">
        <v>5784.75</v>
      </c>
      <c r="M5" s="26" t="n">
        <v>5215.25</v>
      </c>
      <c r="N5" s="26" t="n">
        <v>3790</v>
      </c>
      <c r="O5" s="26" t="n">
        <v>210</v>
      </c>
    </row>
    <row r="6" customFormat="false" ht="15" hidden="false" customHeight="false" outlineLevel="0" collapsed="false">
      <c r="A6" s="23"/>
      <c r="B6" s="27" t="s">
        <v>57</v>
      </c>
      <c r="C6" s="28" t="s">
        <v>90</v>
      </c>
      <c r="D6" s="29" t="n">
        <f aca="false">SUM(E6:O6)</f>
        <v>23004.74</v>
      </c>
      <c r="E6" s="29" t="n">
        <f aca="false">SUM(E4:E5)</f>
        <v>0</v>
      </c>
      <c r="F6" s="29" t="n">
        <f aca="false">SUM(F4:F5)</f>
        <v>0</v>
      </c>
      <c r="G6" s="29" t="n">
        <f aca="false">SUM(G4:G5)</f>
        <v>0</v>
      </c>
      <c r="H6" s="29" t="n">
        <f aca="false">SUM(H4:H5)</f>
        <v>0</v>
      </c>
      <c r="I6" s="29" t="n">
        <f aca="false">SUM(I4:I5)</f>
        <v>0</v>
      </c>
      <c r="J6" s="29" t="n">
        <f aca="false">SUM(J4:J5)</f>
        <v>0</v>
      </c>
      <c r="K6" s="29" t="n">
        <f aca="false">SUM(K4:K5)</f>
        <v>100</v>
      </c>
      <c r="L6" s="29" t="n">
        <f aca="false">SUM(L4:L5)</f>
        <v>13362.69</v>
      </c>
      <c r="M6" s="29" t="n">
        <f aca="false">SUM(M4:M5)</f>
        <v>5522.38</v>
      </c>
      <c r="N6" s="29" t="n">
        <f aca="false">SUM(N4:N5)</f>
        <v>3809.67</v>
      </c>
      <c r="O6" s="29" t="n">
        <f aca="false">SUM(O4:O5)</f>
        <v>210</v>
      </c>
    </row>
    <row r="8" customFormat="false" ht="15" hidden="false" customHeight="false" outlineLevel="0" collapsed="false">
      <c r="A8" s="30" t="s">
        <v>61</v>
      </c>
      <c r="B8" s="30"/>
      <c r="C8" s="30"/>
      <c r="D8" s="31" t="n">
        <f aca="false">SUM(E8:O8)</f>
        <v>23004.74</v>
      </c>
      <c r="E8" s="31" t="n">
        <f aca="false">E6</f>
        <v>0</v>
      </c>
      <c r="F8" s="31" t="n">
        <f aca="false">F6</f>
        <v>0</v>
      </c>
      <c r="G8" s="31" t="n">
        <f aca="false">G6</f>
        <v>0</v>
      </c>
      <c r="H8" s="31" t="n">
        <f aca="false">H6</f>
        <v>0</v>
      </c>
      <c r="I8" s="31" t="n">
        <f aca="false">I6</f>
        <v>0</v>
      </c>
      <c r="J8" s="31" t="n">
        <f aca="false">J6</f>
        <v>0</v>
      </c>
      <c r="K8" s="31" t="n">
        <f aca="false">K6</f>
        <v>100</v>
      </c>
      <c r="L8" s="31" t="n">
        <f aca="false">L6</f>
        <v>13362.69</v>
      </c>
      <c r="M8" s="31" t="n">
        <f aca="false">M6</f>
        <v>5522.38</v>
      </c>
      <c r="N8" s="31" t="n">
        <f aca="false">N6</f>
        <v>3809.67</v>
      </c>
      <c r="O8" s="31" t="n">
        <f aca="false">O6</f>
        <v>210</v>
      </c>
    </row>
    <row r="10" customFormat="false" ht="15" hidden="false" customHeight="false" outlineLevel="0" collapsed="false">
      <c r="A10" s="21" t="s">
        <v>54</v>
      </c>
      <c r="B10" s="21"/>
      <c r="C10" s="21"/>
      <c r="D10" s="22" t="n">
        <f aca="false">SUM(E10:O10)</f>
        <v>23004.74</v>
      </c>
      <c r="E10" s="22" t="n">
        <f aca="false">E8</f>
        <v>0</v>
      </c>
      <c r="F10" s="22" t="n">
        <f aca="false">F8</f>
        <v>0</v>
      </c>
      <c r="G10" s="22" t="n">
        <f aca="false">G8</f>
        <v>0</v>
      </c>
      <c r="H10" s="22" t="n">
        <f aca="false">H8</f>
        <v>0</v>
      </c>
      <c r="I10" s="22" t="n">
        <f aca="false">I8</f>
        <v>0</v>
      </c>
      <c r="J10" s="22" t="n">
        <f aca="false">J8</f>
        <v>0</v>
      </c>
      <c r="K10" s="22" t="n">
        <f aca="false">K8</f>
        <v>100</v>
      </c>
      <c r="L10" s="22" t="n">
        <f aca="false">L8</f>
        <v>13362.69</v>
      </c>
      <c r="M10" s="22" t="n">
        <f aca="false">M8</f>
        <v>5522.38</v>
      </c>
      <c r="N10" s="22" t="n">
        <f aca="false">N8</f>
        <v>3809.67</v>
      </c>
      <c r="O10" s="22" t="n">
        <f aca="false">O8</f>
        <v>210</v>
      </c>
    </row>
    <row r="12" customFormat="false" ht="15" hidden="false" customHeight="false" outlineLevel="0" collapsed="false">
      <c r="A12" s="10" t="s">
        <v>35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mergeCells count="5">
    <mergeCell ref="A1:O2"/>
    <mergeCell ref="A4:A6"/>
    <mergeCell ref="A8:C8"/>
    <mergeCell ref="A10:C10"/>
    <mergeCell ref="A12: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11017.23</v>
      </c>
      <c r="E4" s="15" t="n">
        <v>0</v>
      </c>
      <c r="F4" s="15" t="n">
        <v>605.98</v>
      </c>
      <c r="G4" s="15" t="n">
        <v>1323.63</v>
      </c>
      <c r="H4" s="15" t="n">
        <v>1266.75</v>
      </c>
      <c r="I4" s="15" t="n">
        <v>1377.43</v>
      </c>
      <c r="J4" s="15" t="n">
        <v>1076.89</v>
      </c>
      <c r="K4" s="15" t="n">
        <v>1304.89</v>
      </c>
      <c r="L4" s="15" t="n">
        <v>1259.93</v>
      </c>
      <c r="M4" s="15" t="n">
        <v>1392.91</v>
      </c>
      <c r="N4" s="15" t="n">
        <v>1187.34</v>
      </c>
      <c r="O4" s="15" t="n">
        <v>221.48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1356.85</v>
      </c>
      <c r="E5" s="15" t="n">
        <v>18.71</v>
      </c>
      <c r="F5" s="15" t="n">
        <v>140.26</v>
      </c>
      <c r="G5" s="15" t="n">
        <v>151.12</v>
      </c>
      <c r="H5" s="15" t="n">
        <v>151.49</v>
      </c>
      <c r="I5" s="15" t="n">
        <v>158.5</v>
      </c>
      <c r="J5" s="15" t="n">
        <v>153.22</v>
      </c>
      <c r="K5" s="15" t="n">
        <v>148.28</v>
      </c>
      <c r="L5" s="15" t="n">
        <v>151.11</v>
      </c>
      <c r="M5" s="15" t="n">
        <v>151.01</v>
      </c>
      <c r="N5" s="15" t="n">
        <v>133.15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12374.08</v>
      </c>
      <c r="E6" s="18" t="n">
        <f aca="false">SUM(E4:E5)</f>
        <v>18.71</v>
      </c>
      <c r="F6" s="18" t="n">
        <f aca="false">SUM(F4:F5)</f>
        <v>746.24</v>
      </c>
      <c r="G6" s="18" t="n">
        <f aca="false">SUM(G4:G5)</f>
        <v>1474.75</v>
      </c>
      <c r="H6" s="18" t="n">
        <f aca="false">SUM(H4:H5)</f>
        <v>1418.24</v>
      </c>
      <c r="I6" s="18" t="n">
        <f aca="false">SUM(I4:I5)</f>
        <v>1535.93</v>
      </c>
      <c r="J6" s="18" t="n">
        <f aca="false">SUM(J4:J5)</f>
        <v>1230.11</v>
      </c>
      <c r="K6" s="18" t="n">
        <f aca="false">SUM(K4:K5)</f>
        <v>1453.17</v>
      </c>
      <c r="L6" s="18" t="n">
        <f aca="false">SUM(L4:L5)</f>
        <v>1411.04</v>
      </c>
      <c r="M6" s="18" t="n">
        <f aca="false">SUM(M4:M5)</f>
        <v>1543.92</v>
      </c>
      <c r="N6" s="18" t="n">
        <f aca="false">SUM(N4:N5)</f>
        <v>1320.49</v>
      </c>
      <c r="O6" s="18" t="n">
        <f aca="false">SUM(O4:O5)</f>
        <v>221.48</v>
      </c>
    </row>
    <row r="8" customFormat="false" ht="15" hidden="false" customHeight="false" outlineLevel="0" collapsed="false">
      <c r="A8" s="12" t="s">
        <v>92</v>
      </c>
      <c r="B8" s="13" t="s">
        <v>51</v>
      </c>
      <c r="C8" s="14" t="s">
        <v>10</v>
      </c>
      <c r="D8" s="15" t="n">
        <f aca="false">SUM(E8:O8)</f>
        <v>2130.56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1271.93</v>
      </c>
      <c r="N8" s="15" t="n">
        <v>858.63</v>
      </c>
      <c r="O8" s="15" t="n">
        <v>0</v>
      </c>
    </row>
    <row r="9" customFormat="false" ht="15" hidden="false" customHeight="false" outlineLevel="0" collapsed="false">
      <c r="A9" s="12"/>
      <c r="B9" s="16" t="s">
        <v>51</v>
      </c>
      <c r="C9" s="17" t="s">
        <v>93</v>
      </c>
      <c r="D9" s="18" t="n">
        <f aca="false">SUM(E9:O9)</f>
        <v>2130.56</v>
      </c>
      <c r="E9" s="18" t="n">
        <f aca="false">SUM(E8:E8)</f>
        <v>0</v>
      </c>
      <c r="F9" s="18" t="n">
        <f aca="false">SUM(F8:F8)</f>
        <v>0</v>
      </c>
      <c r="G9" s="18" t="n">
        <f aca="false">SUM(G8:G8)</f>
        <v>0</v>
      </c>
      <c r="H9" s="18" t="n">
        <f aca="false">SUM(H8:H8)</f>
        <v>0</v>
      </c>
      <c r="I9" s="18" t="n">
        <f aca="false">SUM(I8:I8)</f>
        <v>0</v>
      </c>
      <c r="J9" s="18" t="n">
        <f aca="false">SUM(J8:J8)</f>
        <v>0</v>
      </c>
      <c r="K9" s="18" t="n">
        <f aca="false">SUM(K8:K8)</f>
        <v>0</v>
      </c>
      <c r="L9" s="18" t="n">
        <f aca="false">SUM(L8:L8)</f>
        <v>0</v>
      </c>
      <c r="M9" s="18" t="n">
        <f aca="false">SUM(M8:M8)</f>
        <v>1271.93</v>
      </c>
      <c r="N9" s="18" t="n">
        <f aca="false">SUM(N8:N8)</f>
        <v>858.63</v>
      </c>
      <c r="O9" s="18" t="n">
        <f aca="false">SUM(O8:O8)</f>
        <v>0</v>
      </c>
    </row>
    <row r="11" customFormat="false" ht="15" hidden="false" customHeight="false" outlineLevel="0" collapsed="false">
      <c r="A11" s="19" t="s">
        <v>53</v>
      </c>
      <c r="B11" s="19"/>
      <c r="C11" s="19"/>
      <c r="D11" s="20" t="n">
        <f aca="false">SUM(E11:O11)</f>
        <v>14504.64</v>
      </c>
      <c r="E11" s="20" t="n">
        <f aca="false">E6+E9</f>
        <v>18.71</v>
      </c>
      <c r="F11" s="20" t="n">
        <f aca="false">F6+F9</f>
        <v>746.24</v>
      </c>
      <c r="G11" s="20" t="n">
        <f aca="false">G6+G9</f>
        <v>1474.75</v>
      </c>
      <c r="H11" s="20" t="n">
        <f aca="false">H6+H9</f>
        <v>1418.24</v>
      </c>
      <c r="I11" s="20" t="n">
        <f aca="false">I6+I9</f>
        <v>1535.93</v>
      </c>
      <c r="J11" s="20" t="n">
        <f aca="false">J6+J9</f>
        <v>1230.11</v>
      </c>
      <c r="K11" s="20" t="n">
        <f aca="false">K6+K9</f>
        <v>1453.17</v>
      </c>
      <c r="L11" s="20" t="n">
        <f aca="false">L6+L9</f>
        <v>1411.04</v>
      </c>
      <c r="M11" s="20" t="n">
        <f aca="false">M6+M9</f>
        <v>2815.85</v>
      </c>
      <c r="N11" s="20" t="n">
        <f aca="false">N6+N9</f>
        <v>2179.12</v>
      </c>
      <c r="O11" s="20" t="n">
        <f aca="false">O6+O9</f>
        <v>221.48</v>
      </c>
    </row>
    <row r="13" customFormat="false" ht="15" hidden="false" customHeight="false" outlineLevel="0" collapsed="false">
      <c r="A13" s="23" t="s">
        <v>63</v>
      </c>
      <c r="B13" s="24" t="s">
        <v>57</v>
      </c>
      <c r="C13" s="25" t="s">
        <v>8</v>
      </c>
      <c r="D13" s="26" t="n">
        <f aca="false">SUM(E13:O13)</f>
        <v>53763.57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26295.94</v>
      </c>
      <c r="N13" s="26" t="n">
        <v>27467.63</v>
      </c>
      <c r="O13" s="26" t="n">
        <v>0</v>
      </c>
    </row>
    <row r="14" customFormat="false" ht="15" hidden="false" customHeight="false" outlineLevel="0" collapsed="false">
      <c r="A14" s="23"/>
      <c r="B14" s="24" t="s">
        <v>57</v>
      </c>
      <c r="C14" s="25" t="s">
        <v>9</v>
      </c>
      <c r="D14" s="26" t="n">
        <f aca="false">SUM(E14:O14)</f>
        <v>7824.55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1329.74</v>
      </c>
      <c r="M14" s="26" t="n">
        <v>3554.37</v>
      </c>
      <c r="N14" s="26" t="n">
        <v>2940.44</v>
      </c>
      <c r="O14" s="26" t="n">
        <v>0</v>
      </c>
    </row>
    <row r="15" customFormat="false" ht="15" hidden="false" customHeight="false" outlineLevel="0" collapsed="false">
      <c r="A15" s="23"/>
      <c r="B15" s="24" t="s">
        <v>57</v>
      </c>
      <c r="C15" s="25" t="s">
        <v>10</v>
      </c>
      <c r="D15" s="26" t="n">
        <f aca="false">SUM(E15:O15)</f>
        <v>2095.91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487.53</v>
      </c>
      <c r="M15" s="26" t="n">
        <v>916.08</v>
      </c>
      <c r="N15" s="26" t="n">
        <v>692.3</v>
      </c>
      <c r="O15" s="26" t="n">
        <v>0</v>
      </c>
    </row>
    <row r="16" customFormat="false" ht="15" hidden="false" customHeight="false" outlineLevel="0" collapsed="false">
      <c r="A16" s="23"/>
      <c r="B16" s="27" t="s">
        <v>57</v>
      </c>
      <c r="C16" s="28" t="s">
        <v>64</v>
      </c>
      <c r="D16" s="29" t="n">
        <f aca="false">SUM(E16:O16)</f>
        <v>63684.03</v>
      </c>
      <c r="E16" s="29" t="n">
        <f aca="false">SUM(E13:E15)</f>
        <v>0</v>
      </c>
      <c r="F16" s="29" t="n">
        <f aca="false">SUM(F13:F15)</f>
        <v>0</v>
      </c>
      <c r="G16" s="29" t="n">
        <f aca="false">SUM(G13:G15)</f>
        <v>0</v>
      </c>
      <c r="H16" s="29" t="n">
        <f aca="false">SUM(H13:H15)</f>
        <v>0</v>
      </c>
      <c r="I16" s="29" t="n">
        <f aca="false">SUM(I13:I15)</f>
        <v>0</v>
      </c>
      <c r="J16" s="29" t="n">
        <f aca="false">SUM(J13:J15)</f>
        <v>0</v>
      </c>
      <c r="K16" s="29" t="n">
        <f aca="false">SUM(K13:K15)</f>
        <v>0</v>
      </c>
      <c r="L16" s="29" t="n">
        <f aca="false">SUM(L13:L15)</f>
        <v>1817.27</v>
      </c>
      <c r="M16" s="29" t="n">
        <f aca="false">SUM(M13:M15)</f>
        <v>30766.39</v>
      </c>
      <c r="N16" s="29" t="n">
        <f aca="false">SUM(N13:N15)</f>
        <v>31100.37</v>
      </c>
      <c r="O16" s="29" t="n">
        <f aca="false">SUM(O13:O15)</f>
        <v>0</v>
      </c>
    </row>
    <row r="18" customFormat="false" ht="15" hidden="false" customHeight="false" outlineLevel="0" collapsed="false">
      <c r="A18" s="23" t="s">
        <v>70</v>
      </c>
      <c r="B18" s="24" t="s">
        <v>57</v>
      </c>
      <c r="C18" s="25" t="s">
        <v>10</v>
      </c>
      <c r="D18" s="26" t="n">
        <f aca="false">SUM(E18:O18)</f>
        <v>782.11</v>
      </c>
      <c r="E18" s="26" t="n">
        <v>13.48</v>
      </c>
      <c r="F18" s="26" t="n">
        <v>106.28</v>
      </c>
      <c r="G18" s="26" t="n">
        <v>128.5</v>
      </c>
      <c r="H18" s="26" t="n">
        <v>128.28</v>
      </c>
      <c r="I18" s="26" t="n">
        <v>132.05</v>
      </c>
      <c r="J18" s="26" t="n">
        <v>134.61</v>
      </c>
      <c r="K18" s="26" t="n">
        <v>127.52</v>
      </c>
      <c r="L18" s="26" t="n">
        <v>11.39</v>
      </c>
      <c r="M18" s="26" t="n">
        <v>0</v>
      </c>
      <c r="N18" s="26" t="n">
        <v>0</v>
      </c>
      <c r="O18" s="26" t="n">
        <v>0</v>
      </c>
    </row>
    <row r="19" customFormat="false" ht="15" hidden="false" customHeight="false" outlineLevel="0" collapsed="false">
      <c r="A19" s="23"/>
      <c r="B19" s="27" t="s">
        <v>57</v>
      </c>
      <c r="C19" s="28" t="s">
        <v>71</v>
      </c>
      <c r="D19" s="29" t="n">
        <f aca="false">SUM(E19:O19)</f>
        <v>782.11</v>
      </c>
      <c r="E19" s="29" t="n">
        <f aca="false">SUM(E18:E18)</f>
        <v>13.48</v>
      </c>
      <c r="F19" s="29" t="n">
        <f aca="false">SUM(F18:F18)</f>
        <v>106.28</v>
      </c>
      <c r="G19" s="29" t="n">
        <f aca="false">SUM(G18:G18)</f>
        <v>128.5</v>
      </c>
      <c r="H19" s="29" t="n">
        <f aca="false">SUM(H18:H18)</f>
        <v>128.28</v>
      </c>
      <c r="I19" s="29" t="n">
        <f aca="false">SUM(I18:I18)</f>
        <v>132.05</v>
      </c>
      <c r="J19" s="29" t="n">
        <f aca="false">SUM(J18:J18)</f>
        <v>134.61</v>
      </c>
      <c r="K19" s="29" t="n">
        <f aca="false">SUM(K18:K18)</f>
        <v>127.52</v>
      </c>
      <c r="L19" s="29" t="n">
        <f aca="false">SUM(L18:L18)</f>
        <v>11.39</v>
      </c>
      <c r="M19" s="29" t="n">
        <f aca="false">SUM(M18:M18)</f>
        <v>0</v>
      </c>
      <c r="N19" s="29" t="n">
        <f aca="false">SUM(N18:N18)</f>
        <v>0</v>
      </c>
      <c r="O19" s="29" t="n">
        <f aca="false">SUM(O18:O18)</f>
        <v>0</v>
      </c>
    </row>
    <row r="21" customFormat="false" ht="15" hidden="false" customHeight="false" outlineLevel="0" collapsed="false">
      <c r="A21" s="30" t="s">
        <v>61</v>
      </c>
      <c r="B21" s="30"/>
      <c r="C21" s="30"/>
      <c r="D21" s="31" t="n">
        <f aca="false">SUM(E21:O21)</f>
        <v>64466.14</v>
      </c>
      <c r="E21" s="31" t="n">
        <f aca="false">E16+E19</f>
        <v>13.48</v>
      </c>
      <c r="F21" s="31" t="n">
        <f aca="false">F16+F19</f>
        <v>106.28</v>
      </c>
      <c r="G21" s="31" t="n">
        <f aca="false">G16+G19</f>
        <v>128.5</v>
      </c>
      <c r="H21" s="31" t="n">
        <f aca="false">H16+H19</f>
        <v>128.28</v>
      </c>
      <c r="I21" s="31" t="n">
        <f aca="false">I16+I19</f>
        <v>132.05</v>
      </c>
      <c r="J21" s="31" t="n">
        <f aca="false">J16+J19</f>
        <v>134.61</v>
      </c>
      <c r="K21" s="31" t="n">
        <f aca="false">K16+K19</f>
        <v>127.52</v>
      </c>
      <c r="L21" s="31" t="n">
        <f aca="false">L16+L19</f>
        <v>1828.66</v>
      </c>
      <c r="M21" s="31" t="n">
        <f aca="false">M16+M19</f>
        <v>30766.39</v>
      </c>
      <c r="N21" s="31" t="n">
        <f aca="false">N16+N19</f>
        <v>31100.37</v>
      </c>
      <c r="O21" s="31" t="n">
        <f aca="false">O16+O19</f>
        <v>0</v>
      </c>
    </row>
    <row r="23" customFormat="false" ht="15" hidden="false" customHeight="false" outlineLevel="0" collapsed="false">
      <c r="A23" s="21" t="s">
        <v>54</v>
      </c>
      <c r="B23" s="21"/>
      <c r="C23" s="21"/>
      <c r="D23" s="22" t="n">
        <f aca="false">SUM(E23:O23)</f>
        <v>78970.78</v>
      </c>
      <c r="E23" s="22" t="n">
        <f aca="false">E11+E21</f>
        <v>32.19</v>
      </c>
      <c r="F23" s="22" t="n">
        <f aca="false">F11+F21</f>
        <v>852.52</v>
      </c>
      <c r="G23" s="22" t="n">
        <f aca="false">G11+G21</f>
        <v>1603.25</v>
      </c>
      <c r="H23" s="22" t="n">
        <f aca="false">H11+H21</f>
        <v>1546.52</v>
      </c>
      <c r="I23" s="22" t="n">
        <f aca="false">I11+I21</f>
        <v>1667.98</v>
      </c>
      <c r="J23" s="22" t="n">
        <f aca="false">J11+J21</f>
        <v>1364.72</v>
      </c>
      <c r="K23" s="22" t="n">
        <f aca="false">K11+K21</f>
        <v>1580.69</v>
      </c>
      <c r="L23" s="22" t="n">
        <f aca="false">L11+L21</f>
        <v>3239.7</v>
      </c>
      <c r="M23" s="22" t="n">
        <f aca="false">M11+M21</f>
        <v>33582.24</v>
      </c>
      <c r="N23" s="22" t="n">
        <f aca="false">N11+N21</f>
        <v>33279.49</v>
      </c>
      <c r="O23" s="22" t="n">
        <f aca="false">O11+O21</f>
        <v>221.48</v>
      </c>
    </row>
    <row r="25" customFormat="false" ht="15" hidden="false" customHeight="false" outlineLevel="0" collapsed="false">
      <c r="A25" s="10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</sheetData>
  <mergeCells count="9">
    <mergeCell ref="A1:O2"/>
    <mergeCell ref="A4:A6"/>
    <mergeCell ref="A8:A9"/>
    <mergeCell ref="A11:C11"/>
    <mergeCell ref="A13:A16"/>
    <mergeCell ref="A18:A19"/>
    <mergeCell ref="A21:C21"/>
    <mergeCell ref="A23:C23"/>
    <mergeCell ref="A25:O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9083.11</v>
      </c>
      <c r="E4" s="15" t="n">
        <v>0</v>
      </c>
      <c r="F4" s="15" t="n">
        <v>612.09</v>
      </c>
      <c r="G4" s="15" t="n">
        <v>1201.01</v>
      </c>
      <c r="H4" s="15" t="n">
        <v>1067.63</v>
      </c>
      <c r="I4" s="15" t="n">
        <v>1136.89</v>
      </c>
      <c r="J4" s="15" t="n">
        <v>890.08</v>
      </c>
      <c r="K4" s="15" t="n">
        <v>1101.61</v>
      </c>
      <c r="L4" s="15" t="n">
        <v>1058.19</v>
      </c>
      <c r="M4" s="15" t="n">
        <v>1164.7</v>
      </c>
      <c r="N4" s="15" t="n">
        <v>625.74</v>
      </c>
      <c r="O4" s="15" t="n">
        <v>225.17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1153.65</v>
      </c>
      <c r="E5" s="15" t="n">
        <v>3.62</v>
      </c>
      <c r="F5" s="15" t="n">
        <v>57.74</v>
      </c>
      <c r="G5" s="15" t="n">
        <v>135.76</v>
      </c>
      <c r="H5" s="15" t="n">
        <v>135.63</v>
      </c>
      <c r="I5" s="15" t="n">
        <v>136.3</v>
      </c>
      <c r="J5" s="15" t="n">
        <v>153.64</v>
      </c>
      <c r="K5" s="15" t="n">
        <v>149.02</v>
      </c>
      <c r="L5" s="15" t="n">
        <v>151.86</v>
      </c>
      <c r="M5" s="15" t="n">
        <v>151.79</v>
      </c>
      <c r="N5" s="15" t="n">
        <v>78.29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10236.76</v>
      </c>
      <c r="E6" s="18" t="n">
        <f aca="false">SUM(E4:E5)</f>
        <v>3.62</v>
      </c>
      <c r="F6" s="18" t="n">
        <f aca="false">SUM(F4:F5)</f>
        <v>669.83</v>
      </c>
      <c r="G6" s="18" t="n">
        <f aca="false">SUM(G4:G5)</f>
        <v>1336.77</v>
      </c>
      <c r="H6" s="18" t="n">
        <f aca="false">SUM(H4:H5)</f>
        <v>1203.26</v>
      </c>
      <c r="I6" s="18" t="n">
        <f aca="false">SUM(I4:I5)</f>
        <v>1273.19</v>
      </c>
      <c r="J6" s="18" t="n">
        <f aca="false">SUM(J4:J5)</f>
        <v>1043.72</v>
      </c>
      <c r="K6" s="18" t="n">
        <f aca="false">SUM(K4:K5)</f>
        <v>1250.63</v>
      </c>
      <c r="L6" s="18" t="n">
        <f aca="false">SUM(L4:L5)</f>
        <v>1210.05</v>
      </c>
      <c r="M6" s="18" t="n">
        <f aca="false">SUM(M4:M5)</f>
        <v>1316.49</v>
      </c>
      <c r="N6" s="18" t="n">
        <f aca="false">SUM(N4:N5)</f>
        <v>704.03</v>
      </c>
      <c r="O6" s="18" t="n">
        <f aca="false">SUM(O4:O5)</f>
        <v>225.17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10236.76</v>
      </c>
      <c r="E8" s="20" t="n">
        <f aca="false">E6</f>
        <v>3.62</v>
      </c>
      <c r="F8" s="20" t="n">
        <f aca="false">F6</f>
        <v>669.83</v>
      </c>
      <c r="G8" s="20" t="n">
        <f aca="false">G6</f>
        <v>1336.77</v>
      </c>
      <c r="H8" s="20" t="n">
        <f aca="false">H6</f>
        <v>1203.26</v>
      </c>
      <c r="I8" s="20" t="n">
        <f aca="false">I6</f>
        <v>1273.19</v>
      </c>
      <c r="J8" s="20" t="n">
        <f aca="false">J6</f>
        <v>1043.72</v>
      </c>
      <c r="K8" s="20" t="n">
        <f aca="false">K6</f>
        <v>1250.63</v>
      </c>
      <c r="L8" s="20" t="n">
        <f aca="false">L6</f>
        <v>1210.05</v>
      </c>
      <c r="M8" s="20" t="n">
        <f aca="false">M6</f>
        <v>1316.49</v>
      </c>
      <c r="N8" s="20" t="n">
        <f aca="false">N6</f>
        <v>704.03</v>
      </c>
      <c r="O8" s="20" t="n">
        <f aca="false">O6</f>
        <v>225.17</v>
      </c>
    </row>
    <row r="10" customFormat="false" ht="15" hidden="false" customHeight="false" outlineLevel="0" collapsed="false">
      <c r="A10" s="23" t="s">
        <v>95</v>
      </c>
      <c r="B10" s="24" t="s">
        <v>57</v>
      </c>
      <c r="C10" s="25" t="s">
        <v>10</v>
      </c>
      <c r="D10" s="26" t="n">
        <f aca="false">SUM(E10:O10)</f>
        <v>2966.67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469.35</v>
      </c>
      <c r="K10" s="26" t="n">
        <v>598.18</v>
      </c>
      <c r="L10" s="26" t="n">
        <v>735.91</v>
      </c>
      <c r="M10" s="26" t="n">
        <v>741.97</v>
      </c>
      <c r="N10" s="26" t="n">
        <v>421.26</v>
      </c>
      <c r="O10" s="26" t="n">
        <v>0</v>
      </c>
    </row>
    <row r="11" customFormat="false" ht="15" hidden="false" customHeight="false" outlineLevel="0" collapsed="false">
      <c r="A11" s="23"/>
      <c r="B11" s="27" t="s">
        <v>57</v>
      </c>
      <c r="C11" s="28" t="s">
        <v>96</v>
      </c>
      <c r="D11" s="29" t="n">
        <f aca="false">SUM(E11:O11)</f>
        <v>2966.67</v>
      </c>
      <c r="E11" s="29" t="n">
        <f aca="false">SUM(E10:E10)</f>
        <v>0</v>
      </c>
      <c r="F11" s="29" t="n">
        <f aca="false">SUM(F10:F10)</f>
        <v>0</v>
      </c>
      <c r="G11" s="29" t="n">
        <f aca="false">SUM(G10:G10)</f>
        <v>0</v>
      </c>
      <c r="H11" s="29" t="n">
        <f aca="false">SUM(H10:H10)</f>
        <v>0</v>
      </c>
      <c r="I11" s="29" t="n">
        <f aca="false">SUM(I10:I10)</f>
        <v>0</v>
      </c>
      <c r="J11" s="29" t="n">
        <f aca="false">SUM(J10:J10)</f>
        <v>469.35</v>
      </c>
      <c r="K11" s="29" t="n">
        <f aca="false">SUM(K10:K10)</f>
        <v>598.18</v>
      </c>
      <c r="L11" s="29" t="n">
        <f aca="false">SUM(L10:L10)</f>
        <v>735.91</v>
      </c>
      <c r="M11" s="29" t="n">
        <f aca="false">SUM(M10:M10)</f>
        <v>741.97</v>
      </c>
      <c r="N11" s="29" t="n">
        <f aca="false">SUM(N10:N10)</f>
        <v>421.26</v>
      </c>
      <c r="O11" s="29" t="n">
        <f aca="false">SUM(O10:O10)</f>
        <v>0</v>
      </c>
    </row>
    <row r="13" customFormat="false" ht="15" hidden="false" customHeight="false" outlineLevel="0" collapsed="false">
      <c r="A13" s="23" t="s">
        <v>63</v>
      </c>
      <c r="B13" s="24" t="s">
        <v>57</v>
      </c>
      <c r="C13" s="25" t="s">
        <v>8</v>
      </c>
      <c r="D13" s="26" t="n">
        <f aca="false">SUM(E13:O13)</f>
        <v>288.25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137.68</v>
      </c>
      <c r="N13" s="26" t="n">
        <v>150.57</v>
      </c>
      <c r="O13" s="26" t="n">
        <v>0</v>
      </c>
    </row>
    <row r="14" customFormat="false" ht="15" hidden="false" customHeight="false" outlineLevel="0" collapsed="false">
      <c r="A14" s="23"/>
      <c r="B14" s="27" t="s">
        <v>57</v>
      </c>
      <c r="C14" s="28" t="s">
        <v>64</v>
      </c>
      <c r="D14" s="29" t="n">
        <f aca="false">SUM(E14:O14)</f>
        <v>288.25</v>
      </c>
      <c r="E14" s="29" t="n">
        <f aca="false">SUM(E13:E13)</f>
        <v>0</v>
      </c>
      <c r="F14" s="29" t="n">
        <f aca="false">SUM(F13:F13)</f>
        <v>0</v>
      </c>
      <c r="G14" s="29" t="n">
        <f aca="false">SUM(G13:G13)</f>
        <v>0</v>
      </c>
      <c r="H14" s="29" t="n">
        <f aca="false">SUM(H13:H13)</f>
        <v>0</v>
      </c>
      <c r="I14" s="29" t="n">
        <f aca="false">SUM(I13:I13)</f>
        <v>0</v>
      </c>
      <c r="J14" s="29" t="n">
        <f aca="false">SUM(J13:J13)</f>
        <v>0</v>
      </c>
      <c r="K14" s="29" t="n">
        <f aca="false">SUM(K13:K13)</f>
        <v>0</v>
      </c>
      <c r="L14" s="29" t="n">
        <f aca="false">SUM(L13:L13)</f>
        <v>0</v>
      </c>
      <c r="M14" s="29" t="n">
        <f aca="false">SUM(M13:M13)</f>
        <v>137.68</v>
      </c>
      <c r="N14" s="29" t="n">
        <f aca="false">SUM(N13:N13)</f>
        <v>150.57</v>
      </c>
      <c r="O14" s="29" t="n">
        <f aca="false">SUM(O13:O13)</f>
        <v>0</v>
      </c>
    </row>
    <row r="16" customFormat="false" ht="15" hidden="false" customHeight="false" outlineLevel="0" collapsed="false">
      <c r="A16" s="30" t="s">
        <v>61</v>
      </c>
      <c r="B16" s="30"/>
      <c r="C16" s="30"/>
      <c r="D16" s="31" t="n">
        <f aca="false">SUM(E16:O16)</f>
        <v>3254.92</v>
      </c>
      <c r="E16" s="31" t="n">
        <f aca="false">E11+E14</f>
        <v>0</v>
      </c>
      <c r="F16" s="31" t="n">
        <f aca="false">F11+F14</f>
        <v>0</v>
      </c>
      <c r="G16" s="31" t="n">
        <f aca="false">G11+G14</f>
        <v>0</v>
      </c>
      <c r="H16" s="31" t="n">
        <f aca="false">H11+H14</f>
        <v>0</v>
      </c>
      <c r="I16" s="31" t="n">
        <f aca="false">I11+I14</f>
        <v>0</v>
      </c>
      <c r="J16" s="31" t="n">
        <f aca="false">J11+J14</f>
        <v>469.35</v>
      </c>
      <c r="K16" s="31" t="n">
        <f aca="false">K11+K14</f>
        <v>598.18</v>
      </c>
      <c r="L16" s="31" t="n">
        <f aca="false">L11+L14</f>
        <v>735.91</v>
      </c>
      <c r="M16" s="31" t="n">
        <f aca="false">M11+M14</f>
        <v>879.65</v>
      </c>
      <c r="N16" s="31" t="n">
        <f aca="false">N11+N14</f>
        <v>571.83</v>
      </c>
      <c r="O16" s="31" t="n">
        <f aca="false">O11+O14</f>
        <v>0</v>
      </c>
    </row>
    <row r="18" customFormat="false" ht="15" hidden="false" customHeight="false" outlineLevel="0" collapsed="false">
      <c r="A18" s="21" t="s">
        <v>54</v>
      </c>
      <c r="B18" s="21"/>
      <c r="C18" s="21"/>
      <c r="D18" s="22" t="n">
        <f aca="false">SUM(E18:O18)</f>
        <v>13491.68</v>
      </c>
      <c r="E18" s="22" t="n">
        <f aca="false">E8+E16</f>
        <v>3.62</v>
      </c>
      <c r="F18" s="22" t="n">
        <f aca="false">F8+F16</f>
        <v>669.83</v>
      </c>
      <c r="G18" s="22" t="n">
        <f aca="false">G8+G16</f>
        <v>1336.77</v>
      </c>
      <c r="H18" s="22" t="n">
        <f aca="false">H8+H16</f>
        <v>1203.26</v>
      </c>
      <c r="I18" s="22" t="n">
        <f aca="false">I8+I16</f>
        <v>1273.19</v>
      </c>
      <c r="J18" s="22" t="n">
        <f aca="false">J8+J16</f>
        <v>1513.07</v>
      </c>
      <c r="K18" s="22" t="n">
        <f aca="false">K8+K16</f>
        <v>1848.81</v>
      </c>
      <c r="L18" s="22" t="n">
        <f aca="false">L8+L16</f>
        <v>1945.96</v>
      </c>
      <c r="M18" s="22" t="n">
        <f aca="false">M8+M16</f>
        <v>2196.14</v>
      </c>
      <c r="N18" s="22" t="n">
        <f aca="false">N8+N16</f>
        <v>1275.86</v>
      </c>
      <c r="O18" s="22" t="n">
        <f aca="false">O8+O16</f>
        <v>225.17</v>
      </c>
    </row>
    <row r="20" customFormat="false" ht="15" hidden="false" customHeight="false" outlineLevel="0" collapsed="false">
      <c r="A20" s="10" t="s">
        <v>35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8">
    <mergeCell ref="A1:O2"/>
    <mergeCell ref="A4:A6"/>
    <mergeCell ref="A8:C8"/>
    <mergeCell ref="A10:A11"/>
    <mergeCell ref="A13:A14"/>
    <mergeCell ref="A16:C16"/>
    <mergeCell ref="A18:C18"/>
    <mergeCell ref="A20:O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8214.72</v>
      </c>
      <c r="E4" s="15" t="n">
        <v>0</v>
      </c>
      <c r="F4" s="15" t="n">
        <v>572.56</v>
      </c>
      <c r="G4" s="15" t="n">
        <v>820.03</v>
      </c>
      <c r="H4" s="15" t="n">
        <v>986.61</v>
      </c>
      <c r="I4" s="15" t="n">
        <v>1048.85</v>
      </c>
      <c r="J4" s="15" t="n">
        <v>825.86</v>
      </c>
      <c r="K4" s="15" t="n">
        <v>1009.37</v>
      </c>
      <c r="L4" s="15" t="n">
        <v>969.49</v>
      </c>
      <c r="M4" s="15" t="n">
        <v>1067.59</v>
      </c>
      <c r="N4" s="15" t="n">
        <v>914.36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1325.59</v>
      </c>
      <c r="E5" s="15" t="n">
        <v>23.51</v>
      </c>
      <c r="F5" s="15" t="n">
        <v>208.27</v>
      </c>
      <c r="G5" s="15" t="n">
        <v>128.86</v>
      </c>
      <c r="H5" s="15" t="n">
        <v>131.49</v>
      </c>
      <c r="I5" s="15" t="n">
        <v>135.52</v>
      </c>
      <c r="J5" s="15" t="n">
        <v>152.91</v>
      </c>
      <c r="K5" s="15" t="n">
        <v>147.87</v>
      </c>
      <c r="L5" s="15" t="n">
        <v>150.7</v>
      </c>
      <c r="M5" s="15" t="n">
        <v>150.63</v>
      </c>
      <c r="N5" s="15" t="n">
        <v>95.83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9540.31</v>
      </c>
      <c r="E6" s="18" t="n">
        <f aca="false">SUM(E4:E5)</f>
        <v>23.51</v>
      </c>
      <c r="F6" s="18" t="n">
        <f aca="false">SUM(F4:F5)</f>
        <v>780.83</v>
      </c>
      <c r="G6" s="18" t="n">
        <f aca="false">SUM(G4:G5)</f>
        <v>948.89</v>
      </c>
      <c r="H6" s="18" t="n">
        <f aca="false">SUM(H4:H5)</f>
        <v>1118.1</v>
      </c>
      <c r="I6" s="18" t="n">
        <f aca="false">SUM(I4:I5)</f>
        <v>1184.37</v>
      </c>
      <c r="J6" s="18" t="n">
        <f aca="false">SUM(J4:J5)</f>
        <v>978.77</v>
      </c>
      <c r="K6" s="18" t="n">
        <f aca="false">SUM(K4:K5)</f>
        <v>1157.24</v>
      </c>
      <c r="L6" s="18" t="n">
        <f aca="false">SUM(L4:L5)</f>
        <v>1120.19</v>
      </c>
      <c r="M6" s="18" t="n">
        <f aca="false">SUM(M4:M5)</f>
        <v>1218.22</v>
      </c>
      <c r="N6" s="18" t="n">
        <f aca="false">SUM(N4:N5)</f>
        <v>1010.19</v>
      </c>
      <c r="O6" s="18" t="n">
        <f aca="false">SUM(O4:O5)</f>
        <v>0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9540.31</v>
      </c>
      <c r="E8" s="20" t="n">
        <f aca="false">E6</f>
        <v>23.51</v>
      </c>
      <c r="F8" s="20" t="n">
        <f aca="false">F6</f>
        <v>780.83</v>
      </c>
      <c r="G8" s="20" t="n">
        <f aca="false">G6</f>
        <v>948.89</v>
      </c>
      <c r="H8" s="20" t="n">
        <f aca="false">H6</f>
        <v>1118.1</v>
      </c>
      <c r="I8" s="20" t="n">
        <f aca="false">I6</f>
        <v>1184.37</v>
      </c>
      <c r="J8" s="20" t="n">
        <f aca="false">J6</f>
        <v>978.77</v>
      </c>
      <c r="K8" s="20" t="n">
        <f aca="false">K6</f>
        <v>1157.24</v>
      </c>
      <c r="L8" s="20" t="n">
        <f aca="false">L6</f>
        <v>1120.19</v>
      </c>
      <c r="M8" s="20" t="n">
        <f aca="false">M6</f>
        <v>1218.22</v>
      </c>
      <c r="N8" s="20" t="n">
        <f aca="false">N6</f>
        <v>1010.19</v>
      </c>
      <c r="O8" s="20" t="n">
        <f aca="false">O6</f>
        <v>0</v>
      </c>
    </row>
    <row r="10" customFormat="false" ht="15" hidden="false" customHeight="false" outlineLevel="0" collapsed="false">
      <c r="A10" s="21" t="s">
        <v>54</v>
      </c>
      <c r="B10" s="21"/>
      <c r="C10" s="21"/>
      <c r="D10" s="22" t="n">
        <f aca="false">SUM(E10:O10)</f>
        <v>9540.31</v>
      </c>
      <c r="E10" s="22" t="n">
        <f aca="false">E8</f>
        <v>23.51</v>
      </c>
      <c r="F10" s="22" t="n">
        <f aca="false">F8</f>
        <v>780.83</v>
      </c>
      <c r="G10" s="22" t="n">
        <f aca="false">G8</f>
        <v>948.89</v>
      </c>
      <c r="H10" s="22" t="n">
        <f aca="false">H8</f>
        <v>1118.1</v>
      </c>
      <c r="I10" s="22" t="n">
        <f aca="false">I8</f>
        <v>1184.37</v>
      </c>
      <c r="J10" s="22" t="n">
        <f aca="false">J8</f>
        <v>978.77</v>
      </c>
      <c r="K10" s="22" t="n">
        <f aca="false">K8</f>
        <v>1157.24</v>
      </c>
      <c r="L10" s="22" t="n">
        <f aca="false">L8</f>
        <v>1120.19</v>
      </c>
      <c r="M10" s="22" t="n">
        <f aca="false">M8</f>
        <v>1218.22</v>
      </c>
      <c r="N10" s="22" t="n">
        <f aca="false">N8</f>
        <v>1010.19</v>
      </c>
      <c r="O10" s="22" t="n">
        <f aca="false">O8</f>
        <v>0</v>
      </c>
    </row>
    <row r="12" customFormat="false" ht="15" hidden="false" customHeight="false" outlineLevel="0" collapsed="false">
      <c r="A12" s="10" t="s">
        <v>35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mergeCells count="5">
    <mergeCell ref="A1:O2"/>
    <mergeCell ref="A4:A6"/>
    <mergeCell ref="A8:C8"/>
    <mergeCell ref="A10:C10"/>
    <mergeCell ref="A12: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9464.7</v>
      </c>
      <c r="E4" s="15" t="n">
        <v>0</v>
      </c>
      <c r="F4" s="15" t="n">
        <v>571.26</v>
      </c>
      <c r="G4" s="15" t="n">
        <v>1033.67</v>
      </c>
      <c r="H4" s="15" t="n">
        <v>1327.92</v>
      </c>
      <c r="I4" s="15" t="n">
        <v>1272.83</v>
      </c>
      <c r="J4" s="15" t="n">
        <v>964.51</v>
      </c>
      <c r="K4" s="15" t="n">
        <v>1137.04</v>
      </c>
      <c r="L4" s="15" t="n">
        <v>1082.62</v>
      </c>
      <c r="M4" s="15" t="n">
        <v>1186.55</v>
      </c>
      <c r="N4" s="15" t="n">
        <v>638.11</v>
      </c>
      <c r="O4" s="15" t="n">
        <v>250.19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772.85</v>
      </c>
      <c r="E5" s="15" t="n">
        <v>1.45</v>
      </c>
      <c r="F5" s="15" t="n">
        <v>22.97</v>
      </c>
      <c r="G5" s="15" t="n">
        <v>86.21</v>
      </c>
      <c r="H5" s="15" t="n">
        <v>92.2</v>
      </c>
      <c r="I5" s="15" t="n">
        <v>97.79</v>
      </c>
      <c r="J5" s="15" t="n">
        <v>106.36</v>
      </c>
      <c r="K5" s="15" t="n">
        <v>103.28</v>
      </c>
      <c r="L5" s="15" t="n">
        <v>105.28</v>
      </c>
      <c r="M5" s="15" t="n">
        <v>105.25</v>
      </c>
      <c r="N5" s="15" t="n">
        <v>52.06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10237.55</v>
      </c>
      <c r="E6" s="18" t="n">
        <f aca="false">SUM(E4:E5)</f>
        <v>1.45</v>
      </c>
      <c r="F6" s="18" t="n">
        <f aca="false">SUM(F4:F5)</f>
        <v>594.23</v>
      </c>
      <c r="G6" s="18" t="n">
        <f aca="false">SUM(G4:G5)</f>
        <v>1119.88</v>
      </c>
      <c r="H6" s="18" t="n">
        <f aca="false">SUM(H4:H5)</f>
        <v>1420.12</v>
      </c>
      <c r="I6" s="18" t="n">
        <f aca="false">SUM(I4:I5)</f>
        <v>1370.62</v>
      </c>
      <c r="J6" s="18" t="n">
        <f aca="false">SUM(J4:J5)</f>
        <v>1070.87</v>
      </c>
      <c r="K6" s="18" t="n">
        <f aca="false">SUM(K4:K5)</f>
        <v>1240.32</v>
      </c>
      <c r="L6" s="18" t="n">
        <f aca="false">SUM(L4:L5)</f>
        <v>1187.9</v>
      </c>
      <c r="M6" s="18" t="n">
        <f aca="false">SUM(M4:M5)</f>
        <v>1291.8</v>
      </c>
      <c r="N6" s="18" t="n">
        <f aca="false">SUM(N4:N5)</f>
        <v>690.17</v>
      </c>
      <c r="O6" s="18" t="n">
        <f aca="false">SUM(O4:O5)</f>
        <v>250.19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10237.55</v>
      </c>
      <c r="E8" s="20" t="n">
        <f aca="false">E6</f>
        <v>1.45</v>
      </c>
      <c r="F8" s="20" t="n">
        <f aca="false">F6</f>
        <v>594.23</v>
      </c>
      <c r="G8" s="20" t="n">
        <f aca="false">G6</f>
        <v>1119.88</v>
      </c>
      <c r="H8" s="20" t="n">
        <f aca="false">H6</f>
        <v>1420.12</v>
      </c>
      <c r="I8" s="20" t="n">
        <f aca="false">I6</f>
        <v>1370.62</v>
      </c>
      <c r="J8" s="20" t="n">
        <f aca="false">J6</f>
        <v>1070.87</v>
      </c>
      <c r="K8" s="20" t="n">
        <f aca="false">K6</f>
        <v>1240.32</v>
      </c>
      <c r="L8" s="20" t="n">
        <f aca="false">L6</f>
        <v>1187.9</v>
      </c>
      <c r="M8" s="20" t="n">
        <f aca="false">M6</f>
        <v>1291.8</v>
      </c>
      <c r="N8" s="20" t="n">
        <f aca="false">N6</f>
        <v>690.17</v>
      </c>
      <c r="O8" s="20" t="n">
        <f aca="false">O6</f>
        <v>250.19</v>
      </c>
    </row>
    <row r="10" customFormat="false" ht="15" hidden="false" customHeight="false" outlineLevel="0" collapsed="false">
      <c r="A10" s="23" t="s">
        <v>59</v>
      </c>
      <c r="B10" s="24" t="s">
        <v>57</v>
      </c>
      <c r="C10" s="25" t="s">
        <v>8</v>
      </c>
      <c r="D10" s="26" t="n">
        <f aca="false">SUM(E10:O10)</f>
        <v>1448.29</v>
      </c>
      <c r="E10" s="26" t="n">
        <v>0</v>
      </c>
      <c r="F10" s="26" t="n">
        <v>26.03</v>
      </c>
      <c r="G10" s="26" t="n">
        <v>127.05</v>
      </c>
      <c r="H10" s="26" t="n">
        <v>142.25</v>
      </c>
      <c r="I10" s="26" t="n">
        <v>182.32</v>
      </c>
      <c r="J10" s="26" t="n">
        <v>180.92</v>
      </c>
      <c r="K10" s="26" t="n">
        <v>238.71</v>
      </c>
      <c r="L10" s="26" t="n">
        <v>203.03</v>
      </c>
      <c r="M10" s="26" t="n">
        <v>204.77</v>
      </c>
      <c r="N10" s="26" t="n">
        <v>143.21</v>
      </c>
      <c r="O10" s="26" t="n">
        <v>0</v>
      </c>
    </row>
    <row r="11" customFormat="false" ht="15" hidden="false" customHeight="false" outlineLevel="0" collapsed="false">
      <c r="A11" s="23"/>
      <c r="B11" s="27" t="s">
        <v>57</v>
      </c>
      <c r="C11" s="28" t="s">
        <v>60</v>
      </c>
      <c r="D11" s="29" t="n">
        <f aca="false">SUM(E11:O11)</f>
        <v>1448.29</v>
      </c>
      <c r="E11" s="29" t="n">
        <f aca="false">SUM(E10:E10)</f>
        <v>0</v>
      </c>
      <c r="F11" s="29" t="n">
        <f aca="false">SUM(F10:F10)</f>
        <v>26.03</v>
      </c>
      <c r="G11" s="29" t="n">
        <f aca="false">SUM(G10:G10)</f>
        <v>127.05</v>
      </c>
      <c r="H11" s="29" t="n">
        <f aca="false">SUM(H10:H10)</f>
        <v>142.25</v>
      </c>
      <c r="I11" s="29" t="n">
        <f aca="false">SUM(I10:I10)</f>
        <v>182.32</v>
      </c>
      <c r="J11" s="29" t="n">
        <f aca="false">SUM(J10:J10)</f>
        <v>180.92</v>
      </c>
      <c r="K11" s="29" t="n">
        <f aca="false">SUM(K10:K10)</f>
        <v>238.71</v>
      </c>
      <c r="L11" s="29" t="n">
        <f aca="false">SUM(L10:L10)</f>
        <v>203.03</v>
      </c>
      <c r="M11" s="29" t="n">
        <f aca="false">SUM(M10:M10)</f>
        <v>204.77</v>
      </c>
      <c r="N11" s="29" t="n">
        <f aca="false">SUM(N10:N10)</f>
        <v>143.21</v>
      </c>
      <c r="O11" s="29" t="n">
        <f aca="false">SUM(O10:O10)</f>
        <v>0</v>
      </c>
    </row>
    <row r="13" customFormat="false" ht="15" hidden="false" customHeight="false" outlineLevel="0" collapsed="false">
      <c r="A13" s="23" t="s">
        <v>99</v>
      </c>
      <c r="B13" s="24" t="s">
        <v>57</v>
      </c>
      <c r="C13" s="25" t="s">
        <v>9</v>
      </c>
      <c r="D13" s="26" t="n">
        <f aca="false">SUM(E13:O13)</f>
        <v>1300</v>
      </c>
      <c r="E13" s="26" t="n">
        <v>0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100</v>
      </c>
      <c r="M13" s="26" t="n">
        <v>600</v>
      </c>
      <c r="N13" s="26" t="n">
        <v>600</v>
      </c>
      <c r="O13" s="26" t="n">
        <v>0</v>
      </c>
    </row>
    <row r="14" customFormat="false" ht="15" hidden="false" customHeight="false" outlineLevel="0" collapsed="false">
      <c r="A14" s="23"/>
      <c r="B14" s="27" t="s">
        <v>57</v>
      </c>
      <c r="C14" s="28" t="s">
        <v>100</v>
      </c>
      <c r="D14" s="29" t="n">
        <f aca="false">SUM(E14:O14)</f>
        <v>1300</v>
      </c>
      <c r="E14" s="29" t="n">
        <f aca="false">SUM(E13:E13)</f>
        <v>0</v>
      </c>
      <c r="F14" s="29" t="n">
        <f aca="false">SUM(F13:F13)</f>
        <v>0</v>
      </c>
      <c r="G14" s="29" t="n">
        <f aca="false">SUM(G13:G13)</f>
        <v>0</v>
      </c>
      <c r="H14" s="29" t="n">
        <f aca="false">SUM(H13:H13)</f>
        <v>0</v>
      </c>
      <c r="I14" s="29" t="n">
        <f aca="false">SUM(I13:I13)</f>
        <v>0</v>
      </c>
      <c r="J14" s="29" t="n">
        <f aca="false">SUM(J13:J13)</f>
        <v>0</v>
      </c>
      <c r="K14" s="29" t="n">
        <f aca="false">SUM(K13:K13)</f>
        <v>0</v>
      </c>
      <c r="L14" s="29" t="n">
        <f aca="false">SUM(L13:L13)</f>
        <v>100</v>
      </c>
      <c r="M14" s="29" t="n">
        <f aca="false">SUM(M13:M13)</f>
        <v>600</v>
      </c>
      <c r="N14" s="29" t="n">
        <f aca="false">SUM(N13:N13)</f>
        <v>600</v>
      </c>
      <c r="O14" s="29" t="n">
        <f aca="false">SUM(O13:O13)</f>
        <v>0</v>
      </c>
    </row>
    <row r="16" customFormat="false" ht="15" hidden="false" customHeight="false" outlineLevel="0" collapsed="false">
      <c r="A16" s="23" t="s">
        <v>101</v>
      </c>
      <c r="B16" s="24" t="s">
        <v>57</v>
      </c>
      <c r="C16" s="25" t="s">
        <v>10</v>
      </c>
      <c r="D16" s="26" t="n">
        <f aca="false">SUM(E16:O16)</f>
        <v>1190.49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199.66</v>
      </c>
      <c r="L16" s="26" t="n">
        <v>349.47</v>
      </c>
      <c r="M16" s="26" t="n">
        <v>349.49</v>
      </c>
      <c r="N16" s="26" t="n">
        <v>291.87</v>
      </c>
      <c r="O16" s="26" t="n">
        <v>0</v>
      </c>
    </row>
    <row r="17" customFormat="false" ht="15" hidden="false" customHeight="false" outlineLevel="0" collapsed="false">
      <c r="A17" s="23"/>
      <c r="B17" s="27" t="s">
        <v>57</v>
      </c>
      <c r="C17" s="28" t="s">
        <v>102</v>
      </c>
      <c r="D17" s="29" t="n">
        <f aca="false">SUM(E17:O17)</f>
        <v>1190.49</v>
      </c>
      <c r="E17" s="29" t="n">
        <f aca="false">SUM(E16:E16)</f>
        <v>0</v>
      </c>
      <c r="F17" s="29" t="n">
        <f aca="false">SUM(F16:F16)</f>
        <v>0</v>
      </c>
      <c r="G17" s="29" t="n">
        <f aca="false">SUM(G16:G16)</f>
        <v>0</v>
      </c>
      <c r="H17" s="29" t="n">
        <f aca="false">SUM(H16:H16)</f>
        <v>0</v>
      </c>
      <c r="I17" s="29" t="n">
        <f aca="false">SUM(I16:I16)</f>
        <v>0</v>
      </c>
      <c r="J17" s="29" t="n">
        <f aca="false">SUM(J16:J16)</f>
        <v>0</v>
      </c>
      <c r="K17" s="29" t="n">
        <f aca="false">SUM(K16:K16)</f>
        <v>199.66</v>
      </c>
      <c r="L17" s="29" t="n">
        <f aca="false">SUM(L16:L16)</f>
        <v>349.47</v>
      </c>
      <c r="M17" s="29" t="n">
        <f aca="false">SUM(M16:M16)</f>
        <v>349.49</v>
      </c>
      <c r="N17" s="29" t="n">
        <f aca="false">SUM(N16:N16)</f>
        <v>291.87</v>
      </c>
      <c r="O17" s="29" t="n">
        <f aca="false">SUM(O16:O16)</f>
        <v>0</v>
      </c>
    </row>
    <row r="19" customFormat="false" ht="15" hidden="false" customHeight="false" outlineLevel="0" collapsed="false">
      <c r="A19" s="23" t="s">
        <v>70</v>
      </c>
      <c r="B19" s="24" t="s">
        <v>57</v>
      </c>
      <c r="C19" s="25" t="s">
        <v>10</v>
      </c>
      <c r="D19" s="26" t="n">
        <f aca="false">SUM(E19:O19)</f>
        <v>56.32</v>
      </c>
      <c r="E19" s="26" t="n">
        <v>19.69</v>
      </c>
      <c r="F19" s="26" t="n">
        <v>36.63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</row>
    <row r="20" customFormat="false" ht="15" hidden="false" customHeight="false" outlineLevel="0" collapsed="false">
      <c r="A20" s="23"/>
      <c r="B20" s="27" t="s">
        <v>57</v>
      </c>
      <c r="C20" s="28" t="s">
        <v>71</v>
      </c>
      <c r="D20" s="29" t="n">
        <f aca="false">SUM(E20:O20)</f>
        <v>56.32</v>
      </c>
      <c r="E20" s="29" t="n">
        <f aca="false">SUM(E19:E19)</f>
        <v>19.69</v>
      </c>
      <c r="F20" s="29" t="n">
        <f aca="false">SUM(F19:F19)</f>
        <v>36.63</v>
      </c>
      <c r="G20" s="29" t="n">
        <f aca="false">SUM(G19:G19)</f>
        <v>0</v>
      </c>
      <c r="H20" s="29" t="n">
        <f aca="false">SUM(H19:H19)</f>
        <v>0</v>
      </c>
      <c r="I20" s="29" t="n">
        <f aca="false">SUM(I19:I19)</f>
        <v>0</v>
      </c>
      <c r="J20" s="29" t="n">
        <f aca="false">SUM(J19:J19)</f>
        <v>0</v>
      </c>
      <c r="K20" s="29" t="n">
        <f aca="false">SUM(K19:K19)</f>
        <v>0</v>
      </c>
      <c r="L20" s="29" t="n">
        <f aca="false">SUM(L19:L19)</f>
        <v>0</v>
      </c>
      <c r="M20" s="29" t="n">
        <f aca="false">SUM(M19:M19)</f>
        <v>0</v>
      </c>
      <c r="N20" s="29" t="n">
        <f aca="false">SUM(N19:N19)</f>
        <v>0</v>
      </c>
      <c r="O20" s="29" t="n">
        <f aca="false">SUM(O19:O19)</f>
        <v>0</v>
      </c>
    </row>
    <row r="22" customFormat="false" ht="15" hidden="false" customHeight="false" outlineLevel="0" collapsed="false">
      <c r="A22" s="30" t="s">
        <v>61</v>
      </c>
      <c r="B22" s="30"/>
      <c r="C22" s="30"/>
      <c r="D22" s="31" t="n">
        <f aca="false">SUM(E22:O22)</f>
        <v>3995.1</v>
      </c>
      <c r="E22" s="31" t="n">
        <f aca="false">E11+E14+E17+E20</f>
        <v>19.69</v>
      </c>
      <c r="F22" s="31" t="n">
        <f aca="false">F11+F14+F17+F20</f>
        <v>62.66</v>
      </c>
      <c r="G22" s="31" t="n">
        <f aca="false">G11+G14+G17+G20</f>
        <v>127.05</v>
      </c>
      <c r="H22" s="31" t="n">
        <f aca="false">H11+H14+H17+H20</f>
        <v>142.25</v>
      </c>
      <c r="I22" s="31" t="n">
        <f aca="false">I11+I14+I17+I20</f>
        <v>182.32</v>
      </c>
      <c r="J22" s="31" t="n">
        <f aca="false">J11+J14+J17+J20</f>
        <v>180.92</v>
      </c>
      <c r="K22" s="31" t="n">
        <f aca="false">K11+K14+K17+K20</f>
        <v>438.37</v>
      </c>
      <c r="L22" s="31" t="n">
        <f aca="false">L11+L14+L17+L20</f>
        <v>652.5</v>
      </c>
      <c r="M22" s="31" t="n">
        <f aca="false">M11+M14+M17+M20</f>
        <v>1154.26</v>
      </c>
      <c r="N22" s="31" t="n">
        <f aca="false">N11+N14+N17+N20</f>
        <v>1035.08</v>
      </c>
      <c r="O22" s="31" t="n">
        <f aca="false">O11+O14+O17+O20</f>
        <v>0</v>
      </c>
    </row>
    <row r="24" customFormat="false" ht="15" hidden="false" customHeight="false" outlineLevel="0" collapsed="false">
      <c r="A24" s="21" t="s">
        <v>54</v>
      </c>
      <c r="B24" s="21"/>
      <c r="C24" s="21"/>
      <c r="D24" s="22" t="n">
        <f aca="false">SUM(E24:O24)</f>
        <v>14232.65</v>
      </c>
      <c r="E24" s="22" t="n">
        <f aca="false">E8+E22</f>
        <v>21.14</v>
      </c>
      <c r="F24" s="22" t="n">
        <f aca="false">F8+F22</f>
        <v>656.89</v>
      </c>
      <c r="G24" s="22" t="n">
        <f aca="false">G8+G22</f>
        <v>1246.93</v>
      </c>
      <c r="H24" s="22" t="n">
        <f aca="false">H8+H22</f>
        <v>1562.37</v>
      </c>
      <c r="I24" s="22" t="n">
        <f aca="false">I8+I22</f>
        <v>1552.94</v>
      </c>
      <c r="J24" s="22" t="n">
        <f aca="false">J8+J22</f>
        <v>1251.79</v>
      </c>
      <c r="K24" s="22" t="n">
        <f aca="false">K8+K22</f>
        <v>1678.69</v>
      </c>
      <c r="L24" s="22" t="n">
        <f aca="false">L8+L22</f>
        <v>1840.4</v>
      </c>
      <c r="M24" s="22" t="n">
        <f aca="false">M8+M22</f>
        <v>2446.06</v>
      </c>
      <c r="N24" s="22" t="n">
        <f aca="false">N8+N22</f>
        <v>1725.25</v>
      </c>
      <c r="O24" s="22" t="n">
        <f aca="false">O8+O22</f>
        <v>250.19</v>
      </c>
    </row>
    <row r="26" customFormat="false" ht="15" hidden="false" customHeight="false" outlineLevel="0" collapsed="false">
      <c r="A26" s="10" t="s">
        <v>35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</sheetData>
  <mergeCells count="10">
    <mergeCell ref="A1:O2"/>
    <mergeCell ref="A4:A6"/>
    <mergeCell ref="A8:C8"/>
    <mergeCell ref="A10:A11"/>
    <mergeCell ref="A13:A14"/>
    <mergeCell ref="A16:A17"/>
    <mergeCell ref="A19:A20"/>
    <mergeCell ref="A22:C22"/>
    <mergeCell ref="A24:C24"/>
    <mergeCell ref="A26:O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9688.93</v>
      </c>
      <c r="E4" s="15" t="n">
        <v>0</v>
      </c>
      <c r="F4" s="15" t="n">
        <v>363.12</v>
      </c>
      <c r="G4" s="15" t="n">
        <v>1531.15</v>
      </c>
      <c r="H4" s="15" t="n">
        <v>1254.31</v>
      </c>
      <c r="I4" s="15" t="n">
        <v>1239.15</v>
      </c>
      <c r="J4" s="15" t="n">
        <v>949.19</v>
      </c>
      <c r="K4" s="15" t="n">
        <v>1119.68</v>
      </c>
      <c r="L4" s="15" t="n">
        <v>1074.28</v>
      </c>
      <c r="M4" s="15" t="n">
        <v>1179.84</v>
      </c>
      <c r="N4" s="15" t="n">
        <v>978.21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1283.57</v>
      </c>
      <c r="E5" s="15" t="n">
        <v>23.09</v>
      </c>
      <c r="F5" s="15" t="n">
        <v>214.44</v>
      </c>
      <c r="G5" s="15" t="n">
        <v>137.55</v>
      </c>
      <c r="H5" s="15" t="n">
        <v>121.65</v>
      </c>
      <c r="I5" s="15" t="n">
        <v>128.52</v>
      </c>
      <c r="J5" s="15" t="n">
        <v>142.32</v>
      </c>
      <c r="K5" s="15" t="n">
        <v>140.13</v>
      </c>
      <c r="L5" s="15" t="n">
        <v>142.83</v>
      </c>
      <c r="M5" s="15" t="n">
        <v>142.81</v>
      </c>
      <c r="N5" s="15" t="n">
        <v>90.23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10972.5</v>
      </c>
      <c r="E6" s="18" t="n">
        <f aca="false">SUM(E4:E5)</f>
        <v>23.09</v>
      </c>
      <c r="F6" s="18" t="n">
        <f aca="false">SUM(F4:F5)</f>
        <v>577.56</v>
      </c>
      <c r="G6" s="18" t="n">
        <f aca="false">SUM(G4:G5)</f>
        <v>1668.7</v>
      </c>
      <c r="H6" s="18" t="n">
        <f aca="false">SUM(H4:H5)</f>
        <v>1375.96</v>
      </c>
      <c r="I6" s="18" t="n">
        <f aca="false">SUM(I4:I5)</f>
        <v>1367.67</v>
      </c>
      <c r="J6" s="18" t="n">
        <f aca="false">SUM(J4:J5)</f>
        <v>1091.51</v>
      </c>
      <c r="K6" s="18" t="n">
        <f aca="false">SUM(K4:K5)</f>
        <v>1259.81</v>
      </c>
      <c r="L6" s="18" t="n">
        <f aca="false">SUM(L4:L5)</f>
        <v>1217.11</v>
      </c>
      <c r="M6" s="18" t="n">
        <f aca="false">SUM(M4:M5)</f>
        <v>1322.65</v>
      </c>
      <c r="N6" s="18" t="n">
        <f aca="false">SUM(N4:N5)</f>
        <v>1068.44</v>
      </c>
      <c r="O6" s="18" t="n">
        <f aca="false">SUM(O4:O5)</f>
        <v>0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10972.5</v>
      </c>
      <c r="E8" s="20" t="n">
        <f aca="false">E6</f>
        <v>23.09</v>
      </c>
      <c r="F8" s="20" t="n">
        <f aca="false">F6</f>
        <v>577.56</v>
      </c>
      <c r="G8" s="20" t="n">
        <f aca="false">G6</f>
        <v>1668.7</v>
      </c>
      <c r="H8" s="20" t="n">
        <f aca="false">H6</f>
        <v>1375.96</v>
      </c>
      <c r="I8" s="20" t="n">
        <f aca="false">I6</f>
        <v>1367.67</v>
      </c>
      <c r="J8" s="20" t="n">
        <f aca="false">J6</f>
        <v>1091.51</v>
      </c>
      <c r="K8" s="20" t="n">
        <f aca="false">K6</f>
        <v>1259.81</v>
      </c>
      <c r="L8" s="20" t="n">
        <f aca="false">L6</f>
        <v>1217.11</v>
      </c>
      <c r="M8" s="20" t="n">
        <f aca="false">M6</f>
        <v>1322.65</v>
      </c>
      <c r="N8" s="20" t="n">
        <f aca="false">N6</f>
        <v>1068.44</v>
      </c>
      <c r="O8" s="20" t="n">
        <f aca="false">O6</f>
        <v>0</v>
      </c>
    </row>
    <row r="10" customFormat="false" ht="15" hidden="false" customHeight="false" outlineLevel="0" collapsed="false">
      <c r="A10" s="21" t="s">
        <v>54</v>
      </c>
      <c r="B10" s="21"/>
      <c r="C10" s="21"/>
      <c r="D10" s="22" t="n">
        <f aca="false">SUM(E10:O10)</f>
        <v>10972.5</v>
      </c>
      <c r="E10" s="22" t="n">
        <f aca="false">E8</f>
        <v>23.09</v>
      </c>
      <c r="F10" s="22" t="n">
        <f aca="false">F8</f>
        <v>577.56</v>
      </c>
      <c r="G10" s="22" t="n">
        <f aca="false">G8</f>
        <v>1668.7</v>
      </c>
      <c r="H10" s="22" t="n">
        <f aca="false">H8</f>
        <v>1375.96</v>
      </c>
      <c r="I10" s="22" t="n">
        <f aca="false">I8</f>
        <v>1367.67</v>
      </c>
      <c r="J10" s="22" t="n">
        <f aca="false">J8</f>
        <v>1091.51</v>
      </c>
      <c r="K10" s="22" t="n">
        <f aca="false">K8</f>
        <v>1259.81</v>
      </c>
      <c r="L10" s="22" t="n">
        <f aca="false">L8</f>
        <v>1217.11</v>
      </c>
      <c r="M10" s="22" t="n">
        <f aca="false">M8</f>
        <v>1322.65</v>
      </c>
      <c r="N10" s="22" t="n">
        <f aca="false">N8</f>
        <v>1068.44</v>
      </c>
      <c r="O10" s="22" t="n">
        <f aca="false">O8</f>
        <v>0</v>
      </c>
    </row>
    <row r="12" customFormat="false" ht="15" hidden="false" customHeight="false" outlineLevel="0" collapsed="false">
      <c r="A12" s="10" t="s">
        <v>35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mergeCells count="5">
    <mergeCell ref="A1:O2"/>
    <mergeCell ref="A4:A6"/>
    <mergeCell ref="A8:C8"/>
    <mergeCell ref="A10:C10"/>
    <mergeCell ref="A12: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10229.48</v>
      </c>
      <c r="E4" s="15" t="n">
        <v>0</v>
      </c>
      <c r="F4" s="15" t="n">
        <v>712.27</v>
      </c>
      <c r="G4" s="15" t="n">
        <v>1403.77</v>
      </c>
      <c r="H4" s="15" t="n">
        <v>1223.62</v>
      </c>
      <c r="I4" s="15" t="n">
        <v>1281.13</v>
      </c>
      <c r="J4" s="15" t="n">
        <v>996.44</v>
      </c>
      <c r="K4" s="15" t="n">
        <v>1188.78</v>
      </c>
      <c r="L4" s="15" t="n">
        <v>1147.12</v>
      </c>
      <c r="M4" s="15" t="n">
        <v>1260.24</v>
      </c>
      <c r="N4" s="15" t="n">
        <v>1016.11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1490.8</v>
      </c>
      <c r="E5" s="15" t="n">
        <v>19.03</v>
      </c>
      <c r="F5" s="15" t="n">
        <v>164.22</v>
      </c>
      <c r="G5" s="15" t="n">
        <v>169.71</v>
      </c>
      <c r="H5" s="15" t="n">
        <v>159.84</v>
      </c>
      <c r="I5" s="15" t="n">
        <v>173.9</v>
      </c>
      <c r="J5" s="15" t="n">
        <v>179.27</v>
      </c>
      <c r="K5" s="15" t="n">
        <v>173.45</v>
      </c>
      <c r="L5" s="15" t="n">
        <v>176.77</v>
      </c>
      <c r="M5" s="15" t="n">
        <v>176.69</v>
      </c>
      <c r="N5" s="15" t="n">
        <v>97.92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11720.28</v>
      </c>
      <c r="E6" s="18" t="n">
        <f aca="false">SUM(E4:E5)</f>
        <v>19.03</v>
      </c>
      <c r="F6" s="18" t="n">
        <f aca="false">SUM(F4:F5)</f>
        <v>876.49</v>
      </c>
      <c r="G6" s="18" t="n">
        <f aca="false">SUM(G4:G5)</f>
        <v>1573.48</v>
      </c>
      <c r="H6" s="18" t="n">
        <f aca="false">SUM(H4:H5)</f>
        <v>1383.46</v>
      </c>
      <c r="I6" s="18" t="n">
        <f aca="false">SUM(I4:I5)</f>
        <v>1455.03</v>
      </c>
      <c r="J6" s="18" t="n">
        <f aca="false">SUM(J4:J5)</f>
        <v>1175.71</v>
      </c>
      <c r="K6" s="18" t="n">
        <f aca="false">SUM(K4:K5)</f>
        <v>1362.23</v>
      </c>
      <c r="L6" s="18" t="n">
        <f aca="false">SUM(L4:L5)</f>
        <v>1323.89</v>
      </c>
      <c r="M6" s="18" t="n">
        <f aca="false">SUM(M4:M5)</f>
        <v>1436.93</v>
      </c>
      <c r="N6" s="18" t="n">
        <f aca="false">SUM(N4:N5)</f>
        <v>1114.03</v>
      </c>
      <c r="O6" s="18" t="n">
        <f aca="false">SUM(O4:O5)</f>
        <v>0</v>
      </c>
    </row>
    <row r="8" customFormat="false" ht="15" hidden="false" customHeight="false" outlineLevel="0" collapsed="false">
      <c r="A8" s="12" t="s">
        <v>105</v>
      </c>
      <c r="B8" s="13" t="s">
        <v>51</v>
      </c>
      <c r="C8" s="14" t="s">
        <v>10</v>
      </c>
      <c r="D8" s="15" t="n">
        <f aca="false">SUM(E8:O8)</f>
        <v>300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100</v>
      </c>
      <c r="N8" s="15" t="n">
        <v>200</v>
      </c>
      <c r="O8" s="15" t="n">
        <v>0</v>
      </c>
    </row>
    <row r="9" customFormat="false" ht="15" hidden="false" customHeight="false" outlineLevel="0" collapsed="false">
      <c r="A9" s="12"/>
      <c r="B9" s="16" t="s">
        <v>51</v>
      </c>
      <c r="C9" s="17" t="s">
        <v>106</v>
      </c>
      <c r="D9" s="18" t="n">
        <f aca="false">SUM(E9:O9)</f>
        <v>300</v>
      </c>
      <c r="E9" s="18" t="n">
        <f aca="false">SUM(E8:E8)</f>
        <v>0</v>
      </c>
      <c r="F9" s="18" t="n">
        <f aca="false">SUM(F8:F8)</f>
        <v>0</v>
      </c>
      <c r="G9" s="18" t="n">
        <f aca="false">SUM(G8:G8)</f>
        <v>0</v>
      </c>
      <c r="H9" s="18" t="n">
        <f aca="false">SUM(H8:H8)</f>
        <v>0</v>
      </c>
      <c r="I9" s="18" t="n">
        <f aca="false">SUM(I8:I8)</f>
        <v>0</v>
      </c>
      <c r="J9" s="18" t="n">
        <f aca="false">SUM(J8:J8)</f>
        <v>0</v>
      </c>
      <c r="K9" s="18" t="n">
        <f aca="false">SUM(K8:K8)</f>
        <v>0</v>
      </c>
      <c r="L9" s="18" t="n">
        <f aca="false">SUM(L8:L8)</f>
        <v>0</v>
      </c>
      <c r="M9" s="18" t="n">
        <f aca="false">SUM(M8:M8)</f>
        <v>100</v>
      </c>
      <c r="N9" s="18" t="n">
        <f aca="false">SUM(N8:N8)</f>
        <v>200</v>
      </c>
      <c r="O9" s="18" t="n">
        <f aca="false">SUM(O8:O8)</f>
        <v>0</v>
      </c>
    </row>
    <row r="11" customFormat="false" ht="15" hidden="false" customHeight="false" outlineLevel="0" collapsed="false">
      <c r="A11" s="19" t="s">
        <v>53</v>
      </c>
      <c r="B11" s="19"/>
      <c r="C11" s="19"/>
      <c r="D11" s="20" t="n">
        <f aca="false">SUM(E11:O11)</f>
        <v>12020.28</v>
      </c>
      <c r="E11" s="20" t="n">
        <f aca="false">E6+E9</f>
        <v>19.03</v>
      </c>
      <c r="F11" s="20" t="n">
        <f aca="false">F6+F9</f>
        <v>876.49</v>
      </c>
      <c r="G11" s="20" t="n">
        <f aca="false">G6+G9</f>
        <v>1573.48</v>
      </c>
      <c r="H11" s="20" t="n">
        <f aca="false">H6+H9</f>
        <v>1383.46</v>
      </c>
      <c r="I11" s="20" t="n">
        <f aca="false">I6+I9</f>
        <v>1455.03</v>
      </c>
      <c r="J11" s="20" t="n">
        <f aca="false">J6+J9</f>
        <v>1175.71</v>
      </c>
      <c r="K11" s="20" t="n">
        <f aca="false">K6+K9</f>
        <v>1362.23</v>
      </c>
      <c r="L11" s="20" t="n">
        <f aca="false">L6+L9</f>
        <v>1323.89</v>
      </c>
      <c r="M11" s="20" t="n">
        <f aca="false">M6+M9</f>
        <v>1536.93</v>
      </c>
      <c r="N11" s="20" t="n">
        <f aca="false">N6+N9</f>
        <v>1314.03</v>
      </c>
      <c r="O11" s="20" t="n">
        <f aca="false">O6+O9</f>
        <v>0</v>
      </c>
    </row>
    <row r="13" customFormat="false" ht="15" hidden="false" customHeight="false" outlineLevel="0" collapsed="false">
      <c r="A13" s="23" t="s">
        <v>63</v>
      </c>
      <c r="B13" s="24" t="s">
        <v>57</v>
      </c>
      <c r="C13" s="25" t="s">
        <v>8</v>
      </c>
      <c r="D13" s="26" t="n">
        <f aca="false">SUM(E13:O13)</f>
        <v>2845.33</v>
      </c>
      <c r="E13" s="26" t="n">
        <v>0</v>
      </c>
      <c r="F13" s="26" t="n">
        <v>3.58</v>
      </c>
      <c r="G13" s="26" t="n">
        <v>22.7</v>
      </c>
      <c r="H13" s="26" t="n">
        <v>32.19</v>
      </c>
      <c r="I13" s="26" t="n">
        <v>62.18</v>
      </c>
      <c r="J13" s="26" t="n">
        <v>41.47</v>
      </c>
      <c r="K13" s="26" t="n">
        <v>48.86</v>
      </c>
      <c r="L13" s="26" t="n">
        <v>38.37</v>
      </c>
      <c r="M13" s="26" t="n">
        <v>1125.63</v>
      </c>
      <c r="N13" s="26" t="n">
        <v>1470.35</v>
      </c>
      <c r="O13" s="26" t="n">
        <v>0</v>
      </c>
    </row>
    <row r="14" customFormat="false" ht="15" hidden="false" customHeight="false" outlineLevel="0" collapsed="false">
      <c r="A14" s="23"/>
      <c r="B14" s="24" t="s">
        <v>57</v>
      </c>
      <c r="C14" s="25" t="s">
        <v>9</v>
      </c>
      <c r="D14" s="26" t="n">
        <f aca="false">SUM(E14:O14)</f>
        <v>6988.16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1201.06</v>
      </c>
      <c r="M14" s="26" t="n">
        <v>3206.93</v>
      </c>
      <c r="N14" s="26" t="n">
        <v>2580.17</v>
      </c>
      <c r="O14" s="26" t="n">
        <v>0</v>
      </c>
    </row>
    <row r="15" customFormat="false" ht="15" hidden="false" customHeight="false" outlineLevel="0" collapsed="false">
      <c r="A15" s="23"/>
      <c r="B15" s="24" t="s">
        <v>57</v>
      </c>
      <c r="C15" s="25" t="s">
        <v>10</v>
      </c>
      <c r="D15" s="26" t="n">
        <f aca="false">SUM(E15:O15)</f>
        <v>2251.55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524.01</v>
      </c>
      <c r="M15" s="26" t="n">
        <v>983.94</v>
      </c>
      <c r="N15" s="26" t="n">
        <v>743.6</v>
      </c>
      <c r="O15" s="26" t="n">
        <v>0</v>
      </c>
    </row>
    <row r="16" customFormat="false" ht="15" hidden="false" customHeight="false" outlineLevel="0" collapsed="false">
      <c r="A16" s="23"/>
      <c r="B16" s="27" t="s">
        <v>57</v>
      </c>
      <c r="C16" s="28" t="s">
        <v>64</v>
      </c>
      <c r="D16" s="29" t="n">
        <f aca="false">SUM(E16:O16)</f>
        <v>12085.04</v>
      </c>
      <c r="E16" s="29" t="n">
        <f aca="false">SUM(E13:E15)</f>
        <v>0</v>
      </c>
      <c r="F16" s="29" t="n">
        <f aca="false">SUM(F13:F15)</f>
        <v>3.58</v>
      </c>
      <c r="G16" s="29" t="n">
        <f aca="false">SUM(G13:G15)</f>
        <v>22.7</v>
      </c>
      <c r="H16" s="29" t="n">
        <f aca="false">SUM(H13:H15)</f>
        <v>32.19</v>
      </c>
      <c r="I16" s="29" t="n">
        <f aca="false">SUM(I13:I15)</f>
        <v>62.18</v>
      </c>
      <c r="J16" s="29" t="n">
        <f aca="false">SUM(J13:J15)</f>
        <v>41.47</v>
      </c>
      <c r="K16" s="29" t="n">
        <f aca="false">SUM(K13:K15)</f>
        <v>48.86</v>
      </c>
      <c r="L16" s="29" t="n">
        <f aca="false">SUM(L13:L15)</f>
        <v>1763.44</v>
      </c>
      <c r="M16" s="29" t="n">
        <f aca="false">SUM(M13:M15)</f>
        <v>5316.5</v>
      </c>
      <c r="N16" s="29" t="n">
        <f aca="false">SUM(N13:N15)</f>
        <v>4794.12</v>
      </c>
      <c r="O16" s="29" t="n">
        <f aca="false">SUM(O13:O15)</f>
        <v>0</v>
      </c>
    </row>
    <row r="18" customFormat="false" ht="15" hidden="false" customHeight="false" outlineLevel="0" collapsed="false">
      <c r="A18" s="23" t="s">
        <v>101</v>
      </c>
      <c r="B18" s="24" t="s">
        <v>57</v>
      </c>
      <c r="C18" s="25" t="s">
        <v>9</v>
      </c>
      <c r="D18" s="26" t="n">
        <f aca="false">SUM(E18:O18)</f>
        <v>1016.26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100</v>
      </c>
      <c r="L18" s="26" t="n">
        <v>476.89</v>
      </c>
      <c r="M18" s="26" t="n">
        <v>309.33</v>
      </c>
      <c r="N18" s="26" t="n">
        <v>130.04</v>
      </c>
      <c r="O18" s="26" t="n">
        <v>0</v>
      </c>
    </row>
    <row r="19" customFormat="false" ht="15" hidden="false" customHeight="false" outlineLevel="0" collapsed="false">
      <c r="A19" s="23"/>
      <c r="B19" s="27" t="s">
        <v>57</v>
      </c>
      <c r="C19" s="28" t="s">
        <v>102</v>
      </c>
      <c r="D19" s="29" t="n">
        <f aca="false">SUM(E19:O19)</f>
        <v>1016.26</v>
      </c>
      <c r="E19" s="29" t="n">
        <f aca="false">SUM(E18:E18)</f>
        <v>0</v>
      </c>
      <c r="F19" s="29" t="n">
        <f aca="false">SUM(F18:F18)</f>
        <v>0</v>
      </c>
      <c r="G19" s="29" t="n">
        <f aca="false">SUM(G18:G18)</f>
        <v>0</v>
      </c>
      <c r="H19" s="29" t="n">
        <f aca="false">SUM(H18:H18)</f>
        <v>0</v>
      </c>
      <c r="I19" s="29" t="n">
        <f aca="false">SUM(I18:I18)</f>
        <v>0</v>
      </c>
      <c r="J19" s="29" t="n">
        <f aca="false">SUM(J18:J18)</f>
        <v>0</v>
      </c>
      <c r="K19" s="29" t="n">
        <f aca="false">SUM(K18:K18)</f>
        <v>100</v>
      </c>
      <c r="L19" s="29" t="n">
        <f aca="false">SUM(L18:L18)</f>
        <v>476.89</v>
      </c>
      <c r="M19" s="29" t="n">
        <f aca="false">SUM(M18:M18)</f>
        <v>309.33</v>
      </c>
      <c r="N19" s="29" t="n">
        <f aca="false">SUM(N18:N18)</f>
        <v>130.04</v>
      </c>
      <c r="O19" s="29" t="n">
        <f aca="false">SUM(O18:O18)</f>
        <v>0</v>
      </c>
    </row>
    <row r="21" customFormat="false" ht="15" hidden="false" customHeight="false" outlineLevel="0" collapsed="false">
      <c r="A21" s="30" t="s">
        <v>61</v>
      </c>
      <c r="B21" s="30"/>
      <c r="C21" s="30"/>
      <c r="D21" s="31" t="n">
        <f aca="false">SUM(E21:O21)</f>
        <v>13101.3</v>
      </c>
      <c r="E21" s="31" t="n">
        <f aca="false">E16+E19</f>
        <v>0</v>
      </c>
      <c r="F21" s="31" t="n">
        <f aca="false">F16+F19</f>
        <v>3.58</v>
      </c>
      <c r="G21" s="31" t="n">
        <f aca="false">G16+G19</f>
        <v>22.7</v>
      </c>
      <c r="H21" s="31" t="n">
        <f aca="false">H16+H19</f>
        <v>32.19</v>
      </c>
      <c r="I21" s="31" t="n">
        <f aca="false">I16+I19</f>
        <v>62.18</v>
      </c>
      <c r="J21" s="31" t="n">
        <f aca="false">J16+J19</f>
        <v>41.47</v>
      </c>
      <c r="K21" s="31" t="n">
        <f aca="false">K16+K19</f>
        <v>148.86</v>
      </c>
      <c r="L21" s="31" t="n">
        <f aca="false">L16+L19</f>
        <v>2240.33</v>
      </c>
      <c r="M21" s="31" t="n">
        <f aca="false">M16+M19</f>
        <v>5625.83</v>
      </c>
      <c r="N21" s="31" t="n">
        <f aca="false">N16+N19</f>
        <v>4924.16</v>
      </c>
      <c r="O21" s="31" t="n">
        <f aca="false">O16+O19</f>
        <v>0</v>
      </c>
    </row>
    <row r="23" customFormat="false" ht="15" hidden="false" customHeight="false" outlineLevel="0" collapsed="false">
      <c r="A23" s="21" t="s">
        <v>54</v>
      </c>
      <c r="B23" s="21"/>
      <c r="C23" s="21"/>
      <c r="D23" s="22" t="n">
        <f aca="false">SUM(E23:O23)</f>
        <v>25121.58</v>
      </c>
      <c r="E23" s="22" t="n">
        <f aca="false">E11+E21</f>
        <v>19.03</v>
      </c>
      <c r="F23" s="22" t="n">
        <f aca="false">F11+F21</f>
        <v>880.07</v>
      </c>
      <c r="G23" s="22" t="n">
        <f aca="false">G11+G21</f>
        <v>1596.18</v>
      </c>
      <c r="H23" s="22" t="n">
        <f aca="false">H11+H21</f>
        <v>1415.65</v>
      </c>
      <c r="I23" s="22" t="n">
        <f aca="false">I11+I21</f>
        <v>1517.21</v>
      </c>
      <c r="J23" s="22" t="n">
        <f aca="false">J11+J21</f>
        <v>1217.18</v>
      </c>
      <c r="K23" s="22" t="n">
        <f aca="false">K11+K21</f>
        <v>1511.09</v>
      </c>
      <c r="L23" s="22" t="n">
        <f aca="false">L11+L21</f>
        <v>3564.22</v>
      </c>
      <c r="M23" s="22" t="n">
        <f aca="false">M11+M21</f>
        <v>7162.76</v>
      </c>
      <c r="N23" s="22" t="n">
        <f aca="false">N11+N21</f>
        <v>6238.19</v>
      </c>
      <c r="O23" s="22" t="n">
        <f aca="false">O11+O21</f>
        <v>0</v>
      </c>
    </row>
    <row r="25" customFormat="false" ht="15" hidden="false" customHeight="false" outlineLevel="0" collapsed="false">
      <c r="A25" s="10" t="s">
        <v>35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</sheetData>
  <mergeCells count="9">
    <mergeCell ref="A1:O2"/>
    <mergeCell ref="A4:A6"/>
    <mergeCell ref="A8:A9"/>
    <mergeCell ref="A11:C11"/>
    <mergeCell ref="A13:A16"/>
    <mergeCell ref="A18:A19"/>
    <mergeCell ref="A21:C21"/>
    <mergeCell ref="A23:C23"/>
    <mergeCell ref="A25:O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9577.31</v>
      </c>
      <c r="E4" s="15" t="n">
        <v>0</v>
      </c>
      <c r="F4" s="15" t="n">
        <v>821.83</v>
      </c>
      <c r="G4" s="15" t="n">
        <v>984.62</v>
      </c>
      <c r="H4" s="15" t="n">
        <v>1160.05</v>
      </c>
      <c r="I4" s="15" t="n">
        <v>1196.07</v>
      </c>
      <c r="J4" s="15" t="n">
        <v>920.29</v>
      </c>
      <c r="K4" s="15" t="n">
        <v>1119.82</v>
      </c>
      <c r="L4" s="15" t="n">
        <v>1070.09</v>
      </c>
      <c r="M4" s="15" t="n">
        <v>1171.94</v>
      </c>
      <c r="N4" s="15" t="n">
        <v>877.69</v>
      </c>
      <c r="O4" s="15" t="n">
        <v>254.91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890.36</v>
      </c>
      <c r="E5" s="15" t="n">
        <v>16.86</v>
      </c>
      <c r="F5" s="15" t="n">
        <v>124.74</v>
      </c>
      <c r="G5" s="15" t="n">
        <v>100.72</v>
      </c>
      <c r="H5" s="15" t="n">
        <v>99.06</v>
      </c>
      <c r="I5" s="15" t="n">
        <v>95.77</v>
      </c>
      <c r="J5" s="15" t="n">
        <v>98.39</v>
      </c>
      <c r="K5" s="15" t="n">
        <v>95.38</v>
      </c>
      <c r="L5" s="15" t="n">
        <v>97.22</v>
      </c>
      <c r="M5" s="15" t="n">
        <v>97.17</v>
      </c>
      <c r="N5" s="15" t="n">
        <v>65.05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10467.67</v>
      </c>
      <c r="E6" s="18" t="n">
        <f aca="false">SUM(E4:E5)</f>
        <v>16.86</v>
      </c>
      <c r="F6" s="18" t="n">
        <f aca="false">SUM(F4:F5)</f>
        <v>946.57</v>
      </c>
      <c r="G6" s="18" t="n">
        <f aca="false">SUM(G4:G5)</f>
        <v>1085.34</v>
      </c>
      <c r="H6" s="18" t="n">
        <f aca="false">SUM(H4:H5)</f>
        <v>1259.11</v>
      </c>
      <c r="I6" s="18" t="n">
        <f aca="false">SUM(I4:I5)</f>
        <v>1291.84</v>
      </c>
      <c r="J6" s="18" t="n">
        <f aca="false">SUM(J4:J5)</f>
        <v>1018.68</v>
      </c>
      <c r="K6" s="18" t="n">
        <f aca="false">SUM(K4:K5)</f>
        <v>1215.2</v>
      </c>
      <c r="L6" s="18" t="n">
        <f aca="false">SUM(L4:L5)</f>
        <v>1167.31</v>
      </c>
      <c r="M6" s="18" t="n">
        <f aca="false">SUM(M4:M5)</f>
        <v>1269.11</v>
      </c>
      <c r="N6" s="18" t="n">
        <f aca="false">SUM(N4:N5)</f>
        <v>942.74</v>
      </c>
      <c r="O6" s="18" t="n">
        <f aca="false">SUM(O4:O5)</f>
        <v>254.91</v>
      </c>
    </row>
    <row r="8" customFormat="false" ht="15" hidden="false" customHeight="false" outlineLevel="0" collapsed="false">
      <c r="A8" s="12" t="s">
        <v>108</v>
      </c>
      <c r="B8" s="13" t="s">
        <v>51</v>
      </c>
      <c r="C8" s="14" t="s">
        <v>10</v>
      </c>
      <c r="D8" s="15" t="n">
        <f aca="false">SUM(E8:O8)</f>
        <v>1541.45</v>
      </c>
      <c r="E8" s="15" t="n">
        <v>70.79</v>
      </c>
      <c r="F8" s="15" t="n">
        <v>250</v>
      </c>
      <c r="G8" s="15" t="n">
        <v>350</v>
      </c>
      <c r="H8" s="15" t="n">
        <v>350</v>
      </c>
      <c r="I8" s="15" t="n">
        <v>350</v>
      </c>
      <c r="J8" s="15" t="n">
        <v>170.66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</row>
    <row r="9" customFormat="false" ht="15" hidden="false" customHeight="false" outlineLevel="0" collapsed="false">
      <c r="A9" s="12"/>
      <c r="B9" s="16" t="s">
        <v>51</v>
      </c>
      <c r="C9" s="17" t="s">
        <v>109</v>
      </c>
      <c r="D9" s="18" t="n">
        <f aca="false">SUM(E9:O9)</f>
        <v>1541.45</v>
      </c>
      <c r="E9" s="18" t="n">
        <f aca="false">SUM(E8:E8)</f>
        <v>70.79</v>
      </c>
      <c r="F9" s="18" t="n">
        <f aca="false">SUM(F8:F8)</f>
        <v>250</v>
      </c>
      <c r="G9" s="18" t="n">
        <f aca="false">SUM(G8:G8)</f>
        <v>350</v>
      </c>
      <c r="H9" s="18" t="n">
        <f aca="false">SUM(H8:H8)</f>
        <v>350</v>
      </c>
      <c r="I9" s="18" t="n">
        <f aca="false">SUM(I8:I8)</f>
        <v>350</v>
      </c>
      <c r="J9" s="18" t="n">
        <f aca="false">SUM(J8:J8)</f>
        <v>170.66</v>
      </c>
      <c r="K9" s="18" t="n">
        <f aca="false">SUM(K8:K8)</f>
        <v>0</v>
      </c>
      <c r="L9" s="18" t="n">
        <f aca="false">SUM(L8:L8)</f>
        <v>0</v>
      </c>
      <c r="M9" s="18" t="n">
        <f aca="false">SUM(M8:M8)</f>
        <v>0</v>
      </c>
      <c r="N9" s="18" t="n">
        <f aca="false">SUM(N8:N8)</f>
        <v>0</v>
      </c>
      <c r="O9" s="18" t="n">
        <f aca="false">SUM(O8:O8)</f>
        <v>0</v>
      </c>
    </row>
    <row r="11" customFormat="false" ht="15" hidden="false" customHeight="false" outlineLevel="0" collapsed="false">
      <c r="A11" s="19" t="s">
        <v>53</v>
      </c>
      <c r="B11" s="19"/>
      <c r="C11" s="19"/>
      <c r="D11" s="20" t="n">
        <f aca="false">SUM(E11:O11)</f>
        <v>12009.12</v>
      </c>
      <c r="E11" s="20" t="n">
        <f aca="false">E6+E9</f>
        <v>87.65</v>
      </c>
      <c r="F11" s="20" t="n">
        <f aca="false">F6+F9</f>
        <v>1196.57</v>
      </c>
      <c r="G11" s="20" t="n">
        <f aca="false">G6+G9</f>
        <v>1435.34</v>
      </c>
      <c r="H11" s="20" t="n">
        <f aca="false">H6+H9</f>
        <v>1609.11</v>
      </c>
      <c r="I11" s="20" t="n">
        <f aca="false">I6+I9</f>
        <v>1641.84</v>
      </c>
      <c r="J11" s="20" t="n">
        <f aca="false">J6+J9</f>
        <v>1189.34</v>
      </c>
      <c r="K11" s="20" t="n">
        <f aca="false">K6+K9</f>
        <v>1215.2</v>
      </c>
      <c r="L11" s="20" t="n">
        <f aca="false">L6+L9</f>
        <v>1167.31</v>
      </c>
      <c r="M11" s="20" t="n">
        <f aca="false">M6+M9</f>
        <v>1269.11</v>
      </c>
      <c r="N11" s="20" t="n">
        <f aca="false">N6+N9</f>
        <v>942.74</v>
      </c>
      <c r="O11" s="20" t="n">
        <f aca="false">O6+O9</f>
        <v>254.91</v>
      </c>
    </row>
    <row r="13" customFormat="false" ht="15" hidden="false" customHeight="false" outlineLevel="0" collapsed="false">
      <c r="A13" s="21" t="s">
        <v>54</v>
      </c>
      <c r="B13" s="21"/>
      <c r="C13" s="21"/>
      <c r="D13" s="22" t="n">
        <f aca="false">SUM(E13:O13)</f>
        <v>12009.12</v>
      </c>
      <c r="E13" s="22" t="n">
        <f aca="false">E11</f>
        <v>87.65</v>
      </c>
      <c r="F13" s="22" t="n">
        <f aca="false">F11</f>
        <v>1196.57</v>
      </c>
      <c r="G13" s="22" t="n">
        <f aca="false">G11</f>
        <v>1435.34</v>
      </c>
      <c r="H13" s="22" t="n">
        <f aca="false">H11</f>
        <v>1609.11</v>
      </c>
      <c r="I13" s="22" t="n">
        <f aca="false">I11</f>
        <v>1641.84</v>
      </c>
      <c r="J13" s="22" t="n">
        <f aca="false">J11</f>
        <v>1189.34</v>
      </c>
      <c r="K13" s="22" t="n">
        <f aca="false">K11</f>
        <v>1215.2</v>
      </c>
      <c r="L13" s="22" t="n">
        <f aca="false">L11</f>
        <v>1167.31</v>
      </c>
      <c r="M13" s="22" t="n">
        <f aca="false">M11</f>
        <v>1269.11</v>
      </c>
      <c r="N13" s="22" t="n">
        <f aca="false">N11</f>
        <v>942.74</v>
      </c>
      <c r="O13" s="22" t="n">
        <f aca="false">O11</f>
        <v>254.91</v>
      </c>
    </row>
    <row r="15" customFormat="false" ht="15" hidden="false" customHeight="false" outlineLevel="0" collapsed="false">
      <c r="A15" s="10" t="s">
        <v>35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</sheetData>
  <mergeCells count="6">
    <mergeCell ref="A1:O2"/>
    <mergeCell ref="A4:A6"/>
    <mergeCell ref="A8:A9"/>
    <mergeCell ref="A11:C11"/>
    <mergeCell ref="A13:C13"/>
    <mergeCell ref="A15:O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9832.05</v>
      </c>
      <c r="E4" s="15" t="n">
        <v>0</v>
      </c>
      <c r="F4" s="15" t="n">
        <v>610.17</v>
      </c>
      <c r="G4" s="15" t="n">
        <v>1316.51</v>
      </c>
      <c r="H4" s="15" t="n">
        <v>1180.39</v>
      </c>
      <c r="I4" s="15" t="n">
        <v>1243.66</v>
      </c>
      <c r="J4" s="15" t="n">
        <v>970.53</v>
      </c>
      <c r="K4" s="15" t="n">
        <v>1159.51</v>
      </c>
      <c r="L4" s="15" t="n">
        <v>1118.49</v>
      </c>
      <c r="M4" s="15" t="n">
        <v>1231.59</v>
      </c>
      <c r="N4" s="15" t="n">
        <v>1001.2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1239.99</v>
      </c>
      <c r="E5" s="15" t="n">
        <v>22.68</v>
      </c>
      <c r="F5" s="15" t="n">
        <v>233.63</v>
      </c>
      <c r="G5" s="15" t="n">
        <v>160.63</v>
      </c>
      <c r="H5" s="15" t="n">
        <v>170.14</v>
      </c>
      <c r="I5" s="15" t="n">
        <v>187.41</v>
      </c>
      <c r="J5" s="15" t="n">
        <v>96.85</v>
      </c>
      <c r="K5" s="15" t="n">
        <v>93.62</v>
      </c>
      <c r="L5" s="15" t="n">
        <v>95.4</v>
      </c>
      <c r="M5" s="15" t="n">
        <v>95.34</v>
      </c>
      <c r="N5" s="15" t="n">
        <v>84.29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11072.04</v>
      </c>
      <c r="E6" s="18" t="n">
        <f aca="false">SUM(E4:E5)</f>
        <v>22.68</v>
      </c>
      <c r="F6" s="18" t="n">
        <f aca="false">SUM(F4:F5)</f>
        <v>843.8</v>
      </c>
      <c r="G6" s="18" t="n">
        <f aca="false">SUM(G4:G5)</f>
        <v>1477.14</v>
      </c>
      <c r="H6" s="18" t="n">
        <f aca="false">SUM(H4:H5)</f>
        <v>1350.53</v>
      </c>
      <c r="I6" s="18" t="n">
        <f aca="false">SUM(I4:I5)</f>
        <v>1431.07</v>
      </c>
      <c r="J6" s="18" t="n">
        <f aca="false">SUM(J4:J5)</f>
        <v>1067.38</v>
      </c>
      <c r="K6" s="18" t="n">
        <f aca="false">SUM(K4:K5)</f>
        <v>1253.13</v>
      </c>
      <c r="L6" s="18" t="n">
        <f aca="false">SUM(L4:L5)</f>
        <v>1213.89</v>
      </c>
      <c r="M6" s="18" t="n">
        <f aca="false">SUM(M4:M5)</f>
        <v>1326.93</v>
      </c>
      <c r="N6" s="18" t="n">
        <f aca="false">SUM(N4:N5)</f>
        <v>1085.49</v>
      </c>
      <c r="O6" s="18" t="n">
        <f aca="false">SUM(O4:O5)</f>
        <v>0</v>
      </c>
    </row>
    <row r="8" customFormat="false" ht="15" hidden="false" customHeight="false" outlineLevel="0" collapsed="false">
      <c r="A8" s="19" t="s">
        <v>53</v>
      </c>
      <c r="B8" s="19"/>
      <c r="C8" s="19"/>
      <c r="D8" s="20" t="n">
        <f aca="false">SUM(E8:O8)</f>
        <v>11072.04</v>
      </c>
      <c r="E8" s="20" t="n">
        <f aca="false">E6</f>
        <v>22.68</v>
      </c>
      <c r="F8" s="20" t="n">
        <f aca="false">F6</f>
        <v>843.8</v>
      </c>
      <c r="G8" s="20" t="n">
        <f aca="false">G6</f>
        <v>1477.14</v>
      </c>
      <c r="H8" s="20" t="n">
        <f aca="false">H6</f>
        <v>1350.53</v>
      </c>
      <c r="I8" s="20" t="n">
        <f aca="false">I6</f>
        <v>1431.07</v>
      </c>
      <c r="J8" s="20" t="n">
        <f aca="false">J6</f>
        <v>1067.38</v>
      </c>
      <c r="K8" s="20" t="n">
        <f aca="false">K6</f>
        <v>1253.13</v>
      </c>
      <c r="L8" s="20" t="n">
        <f aca="false">L6</f>
        <v>1213.89</v>
      </c>
      <c r="M8" s="20" t="n">
        <f aca="false">M6</f>
        <v>1326.93</v>
      </c>
      <c r="N8" s="20" t="n">
        <f aca="false">N6</f>
        <v>1085.49</v>
      </c>
      <c r="O8" s="20" t="n">
        <f aca="false">O6</f>
        <v>0</v>
      </c>
    </row>
    <row r="10" customFormat="false" ht="15" hidden="false" customHeight="false" outlineLevel="0" collapsed="false">
      <c r="A10" s="21" t="s">
        <v>54</v>
      </c>
      <c r="B10" s="21"/>
      <c r="C10" s="21"/>
      <c r="D10" s="22" t="n">
        <f aca="false">SUM(E10:O10)</f>
        <v>11072.04</v>
      </c>
      <c r="E10" s="22" t="n">
        <f aca="false">E8</f>
        <v>22.68</v>
      </c>
      <c r="F10" s="22" t="n">
        <f aca="false">F8</f>
        <v>843.8</v>
      </c>
      <c r="G10" s="22" t="n">
        <f aca="false">G8</f>
        <v>1477.14</v>
      </c>
      <c r="H10" s="22" t="n">
        <f aca="false">H8</f>
        <v>1350.53</v>
      </c>
      <c r="I10" s="22" t="n">
        <f aca="false">I8</f>
        <v>1431.07</v>
      </c>
      <c r="J10" s="22" t="n">
        <f aca="false">J8</f>
        <v>1067.38</v>
      </c>
      <c r="K10" s="22" t="n">
        <f aca="false">K8</f>
        <v>1253.13</v>
      </c>
      <c r="L10" s="22" t="n">
        <f aca="false">L8</f>
        <v>1213.89</v>
      </c>
      <c r="M10" s="22" t="n">
        <f aca="false">M8</f>
        <v>1326.93</v>
      </c>
      <c r="N10" s="22" t="n">
        <f aca="false">N8</f>
        <v>1085.49</v>
      </c>
      <c r="O10" s="22" t="n">
        <f aca="false">O8</f>
        <v>0</v>
      </c>
    </row>
    <row r="12" customFormat="false" ht="15" hidden="false" customHeight="false" outlineLevel="0" collapsed="false">
      <c r="A12" s="10" t="s">
        <v>35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mergeCells count="5">
    <mergeCell ref="A1:O2"/>
    <mergeCell ref="A4:A6"/>
    <mergeCell ref="A8:C8"/>
    <mergeCell ref="A10:C10"/>
    <mergeCell ref="A12:O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30812.29</v>
      </c>
      <c r="E4" s="15" t="n">
        <v>0</v>
      </c>
      <c r="F4" s="15" t="n">
        <v>2042.37</v>
      </c>
      <c r="G4" s="15" t="n">
        <v>3508.26</v>
      </c>
      <c r="H4" s="15" t="n">
        <v>3528.11</v>
      </c>
      <c r="I4" s="15" t="n">
        <v>3895.07</v>
      </c>
      <c r="J4" s="15" t="n">
        <v>3104.92</v>
      </c>
      <c r="K4" s="15" t="n">
        <v>3742.16</v>
      </c>
      <c r="L4" s="15" t="n">
        <v>3623.88</v>
      </c>
      <c r="M4" s="15" t="n">
        <v>4017.44</v>
      </c>
      <c r="N4" s="15" t="n">
        <v>3350.08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4029.48</v>
      </c>
      <c r="E5" s="15" t="n">
        <v>22.38</v>
      </c>
      <c r="F5" s="15" t="n">
        <v>184.28</v>
      </c>
      <c r="G5" s="15" t="n">
        <v>515.65</v>
      </c>
      <c r="H5" s="15" t="n">
        <v>624.59</v>
      </c>
      <c r="I5" s="15" t="n">
        <v>476.13</v>
      </c>
      <c r="J5" s="15" t="n">
        <v>292.79</v>
      </c>
      <c r="K5" s="15" t="n">
        <v>608.24</v>
      </c>
      <c r="L5" s="15" t="n">
        <v>638.64</v>
      </c>
      <c r="M5" s="15" t="n">
        <v>416.23</v>
      </c>
      <c r="N5" s="15" t="n">
        <v>250.55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34841.77</v>
      </c>
      <c r="E6" s="18" t="n">
        <f aca="false">SUM(E4:E5)</f>
        <v>22.38</v>
      </c>
      <c r="F6" s="18" t="n">
        <f aca="false">SUM(F4:F5)</f>
        <v>2226.65</v>
      </c>
      <c r="G6" s="18" t="n">
        <f aca="false">SUM(G4:G5)</f>
        <v>4023.91</v>
      </c>
      <c r="H6" s="18" t="n">
        <f aca="false">SUM(H4:H5)</f>
        <v>4152.7</v>
      </c>
      <c r="I6" s="18" t="n">
        <f aca="false">SUM(I4:I5)</f>
        <v>4371.2</v>
      </c>
      <c r="J6" s="18" t="n">
        <f aca="false">SUM(J4:J5)</f>
        <v>3397.71</v>
      </c>
      <c r="K6" s="18" t="n">
        <f aca="false">SUM(K4:K5)</f>
        <v>4350.4</v>
      </c>
      <c r="L6" s="18" t="n">
        <f aca="false">SUM(L4:L5)</f>
        <v>4262.52</v>
      </c>
      <c r="M6" s="18" t="n">
        <f aca="false">SUM(M4:M5)</f>
        <v>4433.67</v>
      </c>
      <c r="N6" s="18" t="n">
        <f aca="false">SUM(N4:N5)</f>
        <v>3600.63</v>
      </c>
      <c r="O6" s="18" t="n">
        <f aca="false">SUM(O4:O5)</f>
        <v>0</v>
      </c>
    </row>
    <row r="8" customFormat="false" ht="15" hidden="false" customHeight="false" outlineLevel="0" collapsed="false">
      <c r="A8" s="12" t="s">
        <v>112</v>
      </c>
      <c r="B8" s="13" t="s">
        <v>51</v>
      </c>
      <c r="C8" s="14" t="s">
        <v>8</v>
      </c>
      <c r="D8" s="15" t="n">
        <f aca="false">SUM(E8:O8)</f>
        <v>9.04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9.04</v>
      </c>
      <c r="O8" s="15" t="n">
        <v>0</v>
      </c>
    </row>
    <row r="9" customFormat="false" ht="15" hidden="false" customHeight="false" outlineLevel="0" collapsed="false">
      <c r="A9" s="12"/>
      <c r="B9" s="13" t="s">
        <v>51</v>
      </c>
      <c r="C9" s="14" t="s">
        <v>9</v>
      </c>
      <c r="D9" s="15" t="n">
        <f aca="false">SUM(E9:O9)</f>
        <v>4765.91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2747.82</v>
      </c>
      <c r="N9" s="15" t="n">
        <v>1918.09</v>
      </c>
      <c r="O9" s="15" t="n">
        <v>100</v>
      </c>
    </row>
    <row r="10" customFormat="false" ht="15" hidden="false" customHeight="false" outlineLevel="0" collapsed="false">
      <c r="A10" s="12"/>
      <c r="B10" s="13" t="s">
        <v>51</v>
      </c>
      <c r="C10" s="14" t="s">
        <v>10</v>
      </c>
      <c r="D10" s="15" t="n">
        <f aca="false">SUM(E10:O10)</f>
        <v>29405.76</v>
      </c>
      <c r="E10" s="15" t="n">
        <v>256.99</v>
      </c>
      <c r="F10" s="15" t="n">
        <v>2502.92</v>
      </c>
      <c r="G10" s="15" t="n">
        <v>2375.93</v>
      </c>
      <c r="H10" s="15" t="n">
        <v>2358.88</v>
      </c>
      <c r="I10" s="15" t="n">
        <v>2389.9</v>
      </c>
      <c r="J10" s="15" t="n">
        <v>1886.28</v>
      </c>
      <c r="K10" s="15" t="n">
        <v>4797.62</v>
      </c>
      <c r="L10" s="15" t="n">
        <v>5594.61</v>
      </c>
      <c r="M10" s="15" t="n">
        <v>4842.18</v>
      </c>
      <c r="N10" s="15" t="n">
        <v>2400.45</v>
      </c>
      <c r="O10" s="15" t="n">
        <v>0</v>
      </c>
    </row>
    <row r="11" customFormat="false" ht="15" hidden="false" customHeight="false" outlineLevel="0" collapsed="false">
      <c r="A11" s="12"/>
      <c r="B11" s="16" t="s">
        <v>51</v>
      </c>
      <c r="C11" s="17" t="s">
        <v>113</v>
      </c>
      <c r="D11" s="18" t="n">
        <f aca="false">SUM(E11:O11)</f>
        <v>34180.71</v>
      </c>
      <c r="E11" s="18" t="n">
        <f aca="false">SUM(E8:E10)</f>
        <v>256.99</v>
      </c>
      <c r="F11" s="18" t="n">
        <f aca="false">SUM(F8:F10)</f>
        <v>2502.92</v>
      </c>
      <c r="G11" s="18" t="n">
        <f aca="false">SUM(G8:G10)</f>
        <v>2375.93</v>
      </c>
      <c r="H11" s="18" t="n">
        <f aca="false">SUM(H8:H10)</f>
        <v>2358.88</v>
      </c>
      <c r="I11" s="18" t="n">
        <f aca="false">SUM(I8:I10)</f>
        <v>2389.9</v>
      </c>
      <c r="J11" s="18" t="n">
        <f aca="false">SUM(J8:J10)</f>
        <v>1886.28</v>
      </c>
      <c r="K11" s="18" t="n">
        <f aca="false">SUM(K8:K10)</f>
        <v>4797.62</v>
      </c>
      <c r="L11" s="18" t="n">
        <f aca="false">SUM(L8:L10)</f>
        <v>5594.61</v>
      </c>
      <c r="M11" s="18" t="n">
        <f aca="false">SUM(M8:M10)</f>
        <v>7590</v>
      </c>
      <c r="N11" s="18" t="n">
        <f aca="false">SUM(N8:N10)</f>
        <v>4327.58</v>
      </c>
      <c r="O11" s="18" t="n">
        <f aca="false">SUM(O8:O10)</f>
        <v>100</v>
      </c>
    </row>
    <row r="13" customFormat="false" ht="15" hidden="false" customHeight="false" outlineLevel="0" collapsed="false">
      <c r="A13" s="19" t="s">
        <v>53</v>
      </c>
      <c r="B13" s="19"/>
      <c r="C13" s="19"/>
      <c r="D13" s="20" t="n">
        <f aca="false">SUM(E13:O13)</f>
        <v>69022.48</v>
      </c>
      <c r="E13" s="20" t="n">
        <f aca="false">E6+E11</f>
        <v>279.37</v>
      </c>
      <c r="F13" s="20" t="n">
        <f aca="false">F6+F11</f>
        <v>4729.57</v>
      </c>
      <c r="G13" s="20" t="n">
        <f aca="false">G6+G11</f>
        <v>6399.84</v>
      </c>
      <c r="H13" s="20" t="n">
        <f aca="false">H6+H11</f>
        <v>6511.58</v>
      </c>
      <c r="I13" s="20" t="n">
        <f aca="false">I6+I11</f>
        <v>6761.1</v>
      </c>
      <c r="J13" s="20" t="n">
        <f aca="false">J6+J11</f>
        <v>5283.99</v>
      </c>
      <c r="K13" s="20" t="n">
        <f aca="false">K6+K11</f>
        <v>9148.02</v>
      </c>
      <c r="L13" s="20" t="n">
        <f aca="false">L6+L11</f>
        <v>9857.13</v>
      </c>
      <c r="M13" s="20" t="n">
        <f aca="false">M6+M11</f>
        <v>12023.67</v>
      </c>
      <c r="N13" s="20" t="n">
        <f aca="false">N6+N11</f>
        <v>7928.21</v>
      </c>
      <c r="O13" s="20" t="n">
        <f aca="false">O6+O11</f>
        <v>100</v>
      </c>
    </row>
    <row r="15" customFormat="false" ht="15" hidden="false" customHeight="false" outlineLevel="0" collapsed="false">
      <c r="A15" s="23" t="s">
        <v>63</v>
      </c>
      <c r="B15" s="24" t="s">
        <v>57</v>
      </c>
      <c r="C15" s="25" t="s">
        <v>10</v>
      </c>
      <c r="D15" s="26" t="n">
        <f aca="false">SUM(E15:O15)</f>
        <v>23757.07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5484.89</v>
      </c>
      <c r="J15" s="26" t="n">
        <v>7932.16</v>
      </c>
      <c r="K15" s="26" t="n">
        <v>4784.83</v>
      </c>
      <c r="L15" s="26" t="n">
        <v>5408.65</v>
      </c>
      <c r="M15" s="26" t="n">
        <v>146.54</v>
      </c>
      <c r="N15" s="26" t="n">
        <v>0</v>
      </c>
      <c r="O15" s="26" t="n">
        <v>0</v>
      </c>
    </row>
    <row r="16" customFormat="false" ht="15" hidden="false" customHeight="false" outlineLevel="0" collapsed="false">
      <c r="A16" s="23"/>
      <c r="B16" s="27" t="s">
        <v>57</v>
      </c>
      <c r="C16" s="28" t="s">
        <v>64</v>
      </c>
      <c r="D16" s="29" t="n">
        <f aca="false">SUM(E16:O16)</f>
        <v>23757.07</v>
      </c>
      <c r="E16" s="29" t="n">
        <f aca="false">SUM(E15:E15)</f>
        <v>0</v>
      </c>
      <c r="F16" s="29" t="n">
        <f aca="false">SUM(F15:F15)</f>
        <v>0</v>
      </c>
      <c r="G16" s="29" t="n">
        <f aca="false">SUM(G15:G15)</f>
        <v>0</v>
      </c>
      <c r="H16" s="29" t="n">
        <f aca="false">SUM(H15:H15)</f>
        <v>0</v>
      </c>
      <c r="I16" s="29" t="n">
        <f aca="false">SUM(I15:I15)</f>
        <v>5484.89</v>
      </c>
      <c r="J16" s="29" t="n">
        <f aca="false">SUM(J15:J15)</f>
        <v>7932.16</v>
      </c>
      <c r="K16" s="29" t="n">
        <f aca="false">SUM(K15:K15)</f>
        <v>4784.83</v>
      </c>
      <c r="L16" s="29" t="n">
        <f aca="false">SUM(L15:L15)</f>
        <v>5408.65</v>
      </c>
      <c r="M16" s="29" t="n">
        <f aca="false">SUM(M15:M15)</f>
        <v>146.54</v>
      </c>
      <c r="N16" s="29" t="n">
        <f aca="false">SUM(N15:N15)</f>
        <v>0</v>
      </c>
      <c r="O16" s="29" t="n">
        <f aca="false">SUM(O15:O15)</f>
        <v>0</v>
      </c>
    </row>
    <row r="18" customFormat="false" ht="15" hidden="false" customHeight="false" outlineLevel="0" collapsed="false">
      <c r="A18" s="30" t="s">
        <v>61</v>
      </c>
      <c r="B18" s="30"/>
      <c r="C18" s="30"/>
      <c r="D18" s="31" t="n">
        <f aca="false">SUM(E18:O18)</f>
        <v>23757.07</v>
      </c>
      <c r="E18" s="31" t="n">
        <f aca="false">E16</f>
        <v>0</v>
      </c>
      <c r="F18" s="31" t="n">
        <f aca="false">F16</f>
        <v>0</v>
      </c>
      <c r="G18" s="31" t="n">
        <f aca="false">G16</f>
        <v>0</v>
      </c>
      <c r="H18" s="31" t="n">
        <f aca="false">H16</f>
        <v>0</v>
      </c>
      <c r="I18" s="31" t="n">
        <f aca="false">I16</f>
        <v>5484.89</v>
      </c>
      <c r="J18" s="31" t="n">
        <f aca="false">J16</f>
        <v>7932.16</v>
      </c>
      <c r="K18" s="31" t="n">
        <f aca="false">K16</f>
        <v>4784.83</v>
      </c>
      <c r="L18" s="31" t="n">
        <f aca="false">L16</f>
        <v>5408.65</v>
      </c>
      <c r="M18" s="31" t="n">
        <f aca="false">M16</f>
        <v>146.54</v>
      </c>
      <c r="N18" s="31" t="n">
        <f aca="false">N16</f>
        <v>0</v>
      </c>
      <c r="O18" s="31" t="n">
        <f aca="false">O16</f>
        <v>0</v>
      </c>
    </row>
    <row r="20" customFormat="false" ht="15" hidden="false" customHeight="false" outlineLevel="0" collapsed="false">
      <c r="A20" s="21" t="s">
        <v>54</v>
      </c>
      <c r="B20" s="21"/>
      <c r="C20" s="21"/>
      <c r="D20" s="22" t="n">
        <f aca="false">SUM(E20:O20)</f>
        <v>92779.55</v>
      </c>
      <c r="E20" s="22" t="n">
        <f aca="false">E13+E18</f>
        <v>279.37</v>
      </c>
      <c r="F20" s="22" t="n">
        <f aca="false">F13+F18</f>
        <v>4729.57</v>
      </c>
      <c r="G20" s="22" t="n">
        <f aca="false">G13+G18</f>
        <v>6399.84</v>
      </c>
      <c r="H20" s="22" t="n">
        <f aca="false">H13+H18</f>
        <v>6511.58</v>
      </c>
      <c r="I20" s="22" t="n">
        <f aca="false">I13+I18</f>
        <v>12245.99</v>
      </c>
      <c r="J20" s="22" t="n">
        <f aca="false">J13+J18</f>
        <v>13216.15</v>
      </c>
      <c r="K20" s="22" t="n">
        <f aca="false">K13+K18</f>
        <v>13932.85</v>
      </c>
      <c r="L20" s="22" t="n">
        <f aca="false">L13+L18</f>
        <v>15265.78</v>
      </c>
      <c r="M20" s="22" t="n">
        <f aca="false">M13+M18</f>
        <v>12170.21</v>
      </c>
      <c r="N20" s="22" t="n">
        <f aca="false">N13+N18</f>
        <v>7928.21</v>
      </c>
      <c r="O20" s="22" t="n">
        <f aca="false">O13+O18</f>
        <v>100</v>
      </c>
    </row>
    <row r="22" customFormat="false" ht="15" hidden="false" customHeight="false" outlineLevel="0" collapsed="false">
      <c r="A22" s="10" t="s">
        <v>35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</sheetData>
  <mergeCells count="8">
    <mergeCell ref="A1:O2"/>
    <mergeCell ref="A4:A6"/>
    <mergeCell ref="A8:A11"/>
    <mergeCell ref="A13:C13"/>
    <mergeCell ref="A15:A16"/>
    <mergeCell ref="A18:C18"/>
    <mergeCell ref="A20:C20"/>
    <mergeCell ref="A22:O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30432.13</v>
      </c>
      <c r="E4" s="15" t="n">
        <v>0</v>
      </c>
      <c r="F4" s="15" t="n">
        <v>2021.23</v>
      </c>
      <c r="G4" s="15" t="n">
        <v>2924.44</v>
      </c>
      <c r="H4" s="15" t="n">
        <v>3513.7</v>
      </c>
      <c r="I4" s="15" t="n">
        <v>3851.86</v>
      </c>
      <c r="J4" s="15" t="n">
        <v>3115.17</v>
      </c>
      <c r="K4" s="15" t="n">
        <v>3816.46</v>
      </c>
      <c r="L4" s="15" t="n">
        <v>3711.42</v>
      </c>
      <c r="M4" s="15" t="n">
        <v>4086.93</v>
      </c>
      <c r="N4" s="15" t="n">
        <v>3390.92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4687.92</v>
      </c>
      <c r="E5" s="15" t="n">
        <v>37.56</v>
      </c>
      <c r="F5" s="15" t="n">
        <v>342.73</v>
      </c>
      <c r="G5" s="15" t="n">
        <v>479.1</v>
      </c>
      <c r="H5" s="15" t="n">
        <v>550.3</v>
      </c>
      <c r="I5" s="15" t="n">
        <v>536.22</v>
      </c>
      <c r="J5" s="15" t="n">
        <v>585.36</v>
      </c>
      <c r="K5" s="15" t="n">
        <v>567.69</v>
      </c>
      <c r="L5" s="15" t="n">
        <v>578.53</v>
      </c>
      <c r="M5" s="15" t="n">
        <v>578.23</v>
      </c>
      <c r="N5" s="15" t="n">
        <v>432.2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35120.05</v>
      </c>
      <c r="E6" s="18" t="n">
        <f aca="false">SUM(E4:E5)</f>
        <v>37.56</v>
      </c>
      <c r="F6" s="18" t="n">
        <f aca="false">SUM(F4:F5)</f>
        <v>2363.96</v>
      </c>
      <c r="G6" s="18" t="n">
        <f aca="false">SUM(G4:G5)</f>
        <v>3403.54</v>
      </c>
      <c r="H6" s="18" t="n">
        <f aca="false">SUM(H4:H5)</f>
        <v>4064</v>
      </c>
      <c r="I6" s="18" t="n">
        <f aca="false">SUM(I4:I5)</f>
        <v>4388.08</v>
      </c>
      <c r="J6" s="18" t="n">
        <f aca="false">SUM(J4:J5)</f>
        <v>3700.53</v>
      </c>
      <c r="K6" s="18" t="n">
        <f aca="false">SUM(K4:K5)</f>
        <v>4384.15</v>
      </c>
      <c r="L6" s="18" t="n">
        <f aca="false">SUM(L4:L5)</f>
        <v>4289.95</v>
      </c>
      <c r="M6" s="18" t="n">
        <f aca="false">SUM(M4:M5)</f>
        <v>4665.16</v>
      </c>
      <c r="N6" s="18" t="n">
        <f aca="false">SUM(N4:N5)</f>
        <v>3823.12</v>
      </c>
      <c r="O6" s="18" t="n">
        <f aca="false">SUM(O4:O5)</f>
        <v>0</v>
      </c>
    </row>
    <row r="8" customFormat="false" ht="15" hidden="false" customHeight="false" outlineLevel="0" collapsed="false">
      <c r="A8" s="12" t="s">
        <v>115</v>
      </c>
      <c r="B8" s="13" t="s">
        <v>51</v>
      </c>
      <c r="C8" s="14" t="s">
        <v>8</v>
      </c>
      <c r="D8" s="15" t="n">
        <f aca="false">SUM(E8:O8)</f>
        <v>2940.77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334.61</v>
      </c>
      <c r="N8" s="15" t="n">
        <v>2606.16</v>
      </c>
      <c r="O8" s="15" t="n">
        <v>0</v>
      </c>
    </row>
    <row r="9" customFormat="false" ht="15" hidden="false" customHeight="false" outlineLevel="0" collapsed="false">
      <c r="A9" s="12"/>
      <c r="B9" s="13" t="s">
        <v>51</v>
      </c>
      <c r="C9" s="14" t="s">
        <v>9</v>
      </c>
      <c r="D9" s="15" t="n">
        <f aca="false">SUM(E9:O9)</f>
        <v>21399.98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513.72</v>
      </c>
      <c r="L9" s="15" t="n">
        <v>9897.52</v>
      </c>
      <c r="M9" s="15" t="n">
        <v>5112.88</v>
      </c>
      <c r="N9" s="15" t="n">
        <v>5875.86</v>
      </c>
      <c r="O9" s="15" t="n">
        <v>0</v>
      </c>
    </row>
    <row r="10" customFormat="false" ht="15" hidden="false" customHeight="false" outlineLevel="0" collapsed="false">
      <c r="A10" s="12"/>
      <c r="B10" s="16" t="s">
        <v>51</v>
      </c>
      <c r="C10" s="17" t="s">
        <v>116</v>
      </c>
      <c r="D10" s="18" t="n">
        <f aca="false">SUM(E10:O10)</f>
        <v>24340.75</v>
      </c>
      <c r="E10" s="18" t="n">
        <f aca="false">SUM(E8:E9)</f>
        <v>0</v>
      </c>
      <c r="F10" s="18" t="n">
        <f aca="false">SUM(F8:F9)</f>
        <v>0</v>
      </c>
      <c r="G10" s="18" t="n">
        <f aca="false">SUM(G8:G9)</f>
        <v>0</v>
      </c>
      <c r="H10" s="18" t="n">
        <f aca="false">SUM(H8:H9)</f>
        <v>0</v>
      </c>
      <c r="I10" s="18" t="n">
        <f aca="false">SUM(I8:I9)</f>
        <v>0</v>
      </c>
      <c r="J10" s="18" t="n">
        <f aca="false">SUM(J8:J9)</f>
        <v>0</v>
      </c>
      <c r="K10" s="18" t="n">
        <f aca="false">SUM(K8:K9)</f>
        <v>513.72</v>
      </c>
      <c r="L10" s="18" t="n">
        <f aca="false">SUM(L8:L9)</f>
        <v>9897.52</v>
      </c>
      <c r="M10" s="18" t="n">
        <f aca="false">SUM(M8:M9)</f>
        <v>5447.49</v>
      </c>
      <c r="N10" s="18" t="n">
        <f aca="false">SUM(N8:N9)</f>
        <v>8482.02</v>
      </c>
      <c r="O10" s="18" t="n">
        <f aca="false">SUM(O8:O9)</f>
        <v>0</v>
      </c>
    </row>
    <row r="12" customFormat="false" ht="15" hidden="false" customHeight="false" outlineLevel="0" collapsed="false">
      <c r="A12" s="19" t="s">
        <v>53</v>
      </c>
      <c r="B12" s="19"/>
      <c r="C12" s="19"/>
      <c r="D12" s="20" t="n">
        <f aca="false">SUM(E12:O12)</f>
        <v>59460.8</v>
      </c>
      <c r="E12" s="20" t="n">
        <f aca="false">E6+E10</f>
        <v>37.56</v>
      </c>
      <c r="F12" s="20" t="n">
        <f aca="false">F6+F10</f>
        <v>2363.96</v>
      </c>
      <c r="G12" s="20" t="n">
        <f aca="false">G6+G10</f>
        <v>3403.54</v>
      </c>
      <c r="H12" s="20" t="n">
        <f aca="false">H6+H10</f>
        <v>4064</v>
      </c>
      <c r="I12" s="20" t="n">
        <f aca="false">I6+I10</f>
        <v>4388.08</v>
      </c>
      <c r="J12" s="20" t="n">
        <f aca="false">J6+J10</f>
        <v>3700.53</v>
      </c>
      <c r="K12" s="20" t="n">
        <f aca="false">K6+K10</f>
        <v>4897.87</v>
      </c>
      <c r="L12" s="20" t="n">
        <f aca="false">L6+L10</f>
        <v>14187.47</v>
      </c>
      <c r="M12" s="20" t="n">
        <f aca="false">M6+M10</f>
        <v>10112.65</v>
      </c>
      <c r="N12" s="20" t="n">
        <f aca="false">N6+N10</f>
        <v>12305.14</v>
      </c>
      <c r="O12" s="20" t="n">
        <f aca="false">O6+O10</f>
        <v>0</v>
      </c>
    </row>
    <row r="14" customFormat="false" ht="15" hidden="false" customHeight="false" outlineLevel="0" collapsed="false">
      <c r="A14" s="23" t="s">
        <v>63</v>
      </c>
      <c r="B14" s="24" t="s">
        <v>57</v>
      </c>
      <c r="C14" s="25" t="s">
        <v>9</v>
      </c>
      <c r="D14" s="26" t="n">
        <f aca="false">SUM(E14:O14)</f>
        <v>3541.63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1154.25</v>
      </c>
      <c r="J14" s="26" t="n">
        <v>1160.65</v>
      </c>
      <c r="K14" s="26" t="n">
        <v>802.6</v>
      </c>
      <c r="L14" s="26" t="n">
        <v>424.13</v>
      </c>
      <c r="M14" s="26" t="n">
        <v>0</v>
      </c>
      <c r="N14" s="26" t="n">
        <v>0</v>
      </c>
      <c r="O14" s="26" t="n">
        <v>0</v>
      </c>
    </row>
    <row r="15" customFormat="false" ht="15" hidden="false" customHeight="false" outlineLevel="0" collapsed="false">
      <c r="A15" s="23"/>
      <c r="B15" s="24" t="s">
        <v>57</v>
      </c>
      <c r="C15" s="25" t="s">
        <v>10</v>
      </c>
      <c r="D15" s="26" t="n">
        <f aca="false">SUM(E15:O15)</f>
        <v>24071.74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5557.51</v>
      </c>
      <c r="J15" s="26" t="n">
        <v>8037.13</v>
      </c>
      <c r="K15" s="26" t="n">
        <v>4848.12</v>
      </c>
      <c r="L15" s="26" t="n">
        <v>5480.19</v>
      </c>
      <c r="M15" s="26" t="n">
        <v>148.79</v>
      </c>
      <c r="N15" s="26" t="n">
        <v>0</v>
      </c>
      <c r="O15" s="26" t="n">
        <v>0</v>
      </c>
    </row>
    <row r="16" customFormat="false" ht="15" hidden="false" customHeight="false" outlineLevel="0" collapsed="false">
      <c r="A16" s="23"/>
      <c r="B16" s="27" t="s">
        <v>57</v>
      </c>
      <c r="C16" s="28" t="s">
        <v>64</v>
      </c>
      <c r="D16" s="29" t="n">
        <f aca="false">SUM(E16:O16)</f>
        <v>27613.37</v>
      </c>
      <c r="E16" s="29" t="n">
        <f aca="false">SUM(E14:E15)</f>
        <v>0</v>
      </c>
      <c r="F16" s="29" t="n">
        <f aca="false">SUM(F14:F15)</f>
        <v>0</v>
      </c>
      <c r="G16" s="29" t="n">
        <f aca="false">SUM(G14:G15)</f>
        <v>0</v>
      </c>
      <c r="H16" s="29" t="n">
        <f aca="false">SUM(H14:H15)</f>
        <v>0</v>
      </c>
      <c r="I16" s="29" t="n">
        <f aca="false">SUM(I14:I15)</f>
        <v>6711.76</v>
      </c>
      <c r="J16" s="29" t="n">
        <f aca="false">SUM(J14:J15)</f>
        <v>9197.78</v>
      </c>
      <c r="K16" s="29" t="n">
        <f aca="false">SUM(K14:K15)</f>
        <v>5650.72</v>
      </c>
      <c r="L16" s="29" t="n">
        <f aca="false">SUM(L14:L15)</f>
        <v>5904.32</v>
      </c>
      <c r="M16" s="29" t="n">
        <f aca="false">SUM(M14:M15)</f>
        <v>148.79</v>
      </c>
      <c r="N16" s="29" t="n">
        <f aca="false">SUM(N14:N15)</f>
        <v>0</v>
      </c>
      <c r="O16" s="29" t="n">
        <f aca="false">SUM(O14:O15)</f>
        <v>0</v>
      </c>
    </row>
    <row r="18" customFormat="false" ht="15" hidden="false" customHeight="false" outlineLevel="0" collapsed="false">
      <c r="A18" s="30" t="s">
        <v>61</v>
      </c>
      <c r="B18" s="30"/>
      <c r="C18" s="30"/>
      <c r="D18" s="31" t="n">
        <f aca="false">SUM(E18:O18)</f>
        <v>27613.37</v>
      </c>
      <c r="E18" s="31" t="n">
        <f aca="false">E16</f>
        <v>0</v>
      </c>
      <c r="F18" s="31" t="n">
        <f aca="false">F16</f>
        <v>0</v>
      </c>
      <c r="G18" s="31" t="n">
        <f aca="false">G16</f>
        <v>0</v>
      </c>
      <c r="H18" s="31" t="n">
        <f aca="false">H16</f>
        <v>0</v>
      </c>
      <c r="I18" s="31" t="n">
        <f aca="false">I16</f>
        <v>6711.76</v>
      </c>
      <c r="J18" s="31" t="n">
        <f aca="false">J16</f>
        <v>9197.78</v>
      </c>
      <c r="K18" s="31" t="n">
        <f aca="false">K16</f>
        <v>5650.72</v>
      </c>
      <c r="L18" s="31" t="n">
        <f aca="false">L16</f>
        <v>5904.32</v>
      </c>
      <c r="M18" s="31" t="n">
        <f aca="false">M16</f>
        <v>148.79</v>
      </c>
      <c r="N18" s="31" t="n">
        <f aca="false">N16</f>
        <v>0</v>
      </c>
      <c r="O18" s="31" t="n">
        <f aca="false">O16</f>
        <v>0</v>
      </c>
    </row>
    <row r="20" customFormat="false" ht="15" hidden="false" customHeight="false" outlineLevel="0" collapsed="false">
      <c r="A20" s="21" t="s">
        <v>54</v>
      </c>
      <c r="B20" s="21"/>
      <c r="C20" s="21"/>
      <c r="D20" s="22" t="n">
        <f aca="false">SUM(E20:O20)</f>
        <v>87074.17</v>
      </c>
      <c r="E20" s="22" t="n">
        <f aca="false">E12+E18</f>
        <v>37.56</v>
      </c>
      <c r="F20" s="22" t="n">
        <f aca="false">F12+F18</f>
        <v>2363.96</v>
      </c>
      <c r="G20" s="22" t="n">
        <f aca="false">G12+G18</f>
        <v>3403.54</v>
      </c>
      <c r="H20" s="22" t="n">
        <f aca="false">H12+H18</f>
        <v>4064</v>
      </c>
      <c r="I20" s="22" t="n">
        <f aca="false">I12+I18</f>
        <v>11099.84</v>
      </c>
      <c r="J20" s="22" t="n">
        <f aca="false">J12+J18</f>
        <v>12898.31</v>
      </c>
      <c r="K20" s="22" t="n">
        <f aca="false">K12+K18</f>
        <v>10548.59</v>
      </c>
      <c r="L20" s="22" t="n">
        <f aca="false">L12+L18</f>
        <v>20091.79</v>
      </c>
      <c r="M20" s="22" t="n">
        <f aca="false">M12+M18</f>
        <v>10261.44</v>
      </c>
      <c r="N20" s="22" t="n">
        <f aca="false">N12+N18</f>
        <v>12305.14</v>
      </c>
      <c r="O20" s="22" t="n">
        <f aca="false">O12+O18</f>
        <v>0</v>
      </c>
    </row>
    <row r="22" customFormat="false" ht="15" hidden="false" customHeight="false" outlineLevel="0" collapsed="false">
      <c r="A22" s="10" t="s">
        <v>35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</sheetData>
  <mergeCells count="8">
    <mergeCell ref="A1:O2"/>
    <mergeCell ref="A4:A6"/>
    <mergeCell ref="A8:A10"/>
    <mergeCell ref="A12:C12"/>
    <mergeCell ref="A14:A16"/>
    <mergeCell ref="A18:C18"/>
    <mergeCell ref="A20:C20"/>
    <mergeCell ref="A22:O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26543.78</v>
      </c>
      <c r="E4" s="15" t="n">
        <v>0</v>
      </c>
      <c r="F4" s="15" t="n">
        <v>1600.65</v>
      </c>
      <c r="G4" s="15" t="n">
        <v>3021.02</v>
      </c>
      <c r="H4" s="15" t="n">
        <v>3043.91</v>
      </c>
      <c r="I4" s="15" t="n">
        <v>3362.98</v>
      </c>
      <c r="J4" s="15" t="n">
        <v>2667.18</v>
      </c>
      <c r="K4" s="15" t="n">
        <v>3219.43</v>
      </c>
      <c r="L4" s="15" t="n">
        <v>3112.18</v>
      </c>
      <c r="M4" s="15" t="n">
        <v>3452.62</v>
      </c>
      <c r="N4" s="15" t="n">
        <v>3063.81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3538.91</v>
      </c>
      <c r="E5" s="15" t="n">
        <v>0</v>
      </c>
      <c r="F5" s="15" t="n">
        <v>159.65</v>
      </c>
      <c r="G5" s="15" t="n">
        <v>247.33</v>
      </c>
      <c r="H5" s="15" t="n">
        <v>555.26</v>
      </c>
      <c r="I5" s="15" t="n">
        <v>433.23</v>
      </c>
      <c r="J5" s="15" t="n">
        <v>470.46</v>
      </c>
      <c r="K5" s="15" t="n">
        <v>562.47</v>
      </c>
      <c r="L5" s="15" t="n">
        <v>566.57</v>
      </c>
      <c r="M5" s="15" t="n">
        <v>344.2</v>
      </c>
      <c r="N5" s="15" t="n">
        <v>199.74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30082.69</v>
      </c>
      <c r="E6" s="18" t="n">
        <f aca="false">SUM(E4:E5)</f>
        <v>0</v>
      </c>
      <c r="F6" s="18" t="n">
        <f aca="false">SUM(F4:F5)</f>
        <v>1760.3</v>
      </c>
      <c r="G6" s="18" t="n">
        <f aca="false">SUM(G4:G5)</f>
        <v>3268.35</v>
      </c>
      <c r="H6" s="18" t="n">
        <f aca="false">SUM(H4:H5)</f>
        <v>3599.17</v>
      </c>
      <c r="I6" s="18" t="n">
        <f aca="false">SUM(I4:I5)</f>
        <v>3796.21</v>
      </c>
      <c r="J6" s="18" t="n">
        <f aca="false">SUM(J4:J5)</f>
        <v>3137.64</v>
      </c>
      <c r="K6" s="18" t="n">
        <f aca="false">SUM(K4:K5)</f>
        <v>3781.9</v>
      </c>
      <c r="L6" s="18" t="n">
        <f aca="false">SUM(L4:L5)</f>
        <v>3678.75</v>
      </c>
      <c r="M6" s="18" t="n">
        <f aca="false">SUM(M4:M5)</f>
        <v>3796.82</v>
      </c>
      <c r="N6" s="18" t="n">
        <f aca="false">SUM(N4:N5)</f>
        <v>3263.55</v>
      </c>
      <c r="O6" s="18" t="n">
        <f aca="false">SUM(O4:O5)</f>
        <v>0</v>
      </c>
    </row>
    <row r="8" customFormat="false" ht="15" hidden="false" customHeight="false" outlineLevel="0" collapsed="false">
      <c r="A8" s="12" t="s">
        <v>118</v>
      </c>
      <c r="B8" s="13" t="s">
        <v>51</v>
      </c>
      <c r="C8" s="14" t="s">
        <v>10</v>
      </c>
      <c r="D8" s="15" t="n">
        <f aca="false">SUM(E8:O8)</f>
        <v>20013.01</v>
      </c>
      <c r="E8" s="15" t="n">
        <v>24.56</v>
      </c>
      <c r="F8" s="15" t="n">
        <v>192.69</v>
      </c>
      <c r="G8" s="15" t="n">
        <v>2891.66</v>
      </c>
      <c r="H8" s="15" t="n">
        <v>3934.56</v>
      </c>
      <c r="I8" s="15" t="n">
        <v>3515.64</v>
      </c>
      <c r="J8" s="15" t="n">
        <v>2977.32</v>
      </c>
      <c r="K8" s="15" t="n">
        <v>1901.41</v>
      </c>
      <c r="L8" s="15" t="n">
        <v>1702.24</v>
      </c>
      <c r="M8" s="15" t="n">
        <v>1676.71</v>
      </c>
      <c r="N8" s="15" t="n">
        <v>1196.22</v>
      </c>
      <c r="O8" s="15" t="n">
        <v>0</v>
      </c>
    </row>
    <row r="9" customFormat="false" ht="15" hidden="false" customHeight="false" outlineLevel="0" collapsed="false">
      <c r="A9" s="12"/>
      <c r="B9" s="16" t="s">
        <v>51</v>
      </c>
      <c r="C9" s="17" t="s">
        <v>119</v>
      </c>
      <c r="D9" s="18" t="n">
        <f aca="false">SUM(E9:O9)</f>
        <v>20013.01</v>
      </c>
      <c r="E9" s="18" t="n">
        <f aca="false">SUM(E8:E8)</f>
        <v>24.56</v>
      </c>
      <c r="F9" s="18" t="n">
        <f aca="false">SUM(F8:F8)</f>
        <v>192.69</v>
      </c>
      <c r="G9" s="18" t="n">
        <f aca="false">SUM(G8:G8)</f>
        <v>2891.66</v>
      </c>
      <c r="H9" s="18" t="n">
        <f aca="false">SUM(H8:H8)</f>
        <v>3934.56</v>
      </c>
      <c r="I9" s="18" t="n">
        <f aca="false">SUM(I8:I8)</f>
        <v>3515.64</v>
      </c>
      <c r="J9" s="18" t="n">
        <f aca="false">SUM(J8:J8)</f>
        <v>2977.32</v>
      </c>
      <c r="K9" s="18" t="n">
        <f aca="false">SUM(K8:K8)</f>
        <v>1901.41</v>
      </c>
      <c r="L9" s="18" t="n">
        <f aca="false">SUM(L8:L8)</f>
        <v>1702.24</v>
      </c>
      <c r="M9" s="18" t="n">
        <f aca="false">SUM(M8:M8)</f>
        <v>1676.71</v>
      </c>
      <c r="N9" s="18" t="n">
        <f aca="false">SUM(N8:N8)</f>
        <v>1196.22</v>
      </c>
      <c r="O9" s="18" t="n">
        <f aca="false">SUM(O8:O8)</f>
        <v>0</v>
      </c>
    </row>
    <row r="11" customFormat="false" ht="15" hidden="false" customHeight="false" outlineLevel="0" collapsed="false">
      <c r="A11" s="12" t="s">
        <v>120</v>
      </c>
      <c r="B11" s="13" t="s">
        <v>51</v>
      </c>
      <c r="C11" s="14" t="s">
        <v>10</v>
      </c>
      <c r="D11" s="15" t="n">
        <f aca="false">SUM(E11:O11)</f>
        <v>9379.86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325.57</v>
      </c>
      <c r="L11" s="15" t="n">
        <v>3358.76</v>
      </c>
      <c r="M11" s="15" t="n">
        <v>3366.77</v>
      </c>
      <c r="N11" s="15" t="n">
        <v>2328.76</v>
      </c>
      <c r="O11" s="15" t="n">
        <v>0</v>
      </c>
    </row>
    <row r="12" customFormat="false" ht="15" hidden="false" customHeight="false" outlineLevel="0" collapsed="false">
      <c r="A12" s="12"/>
      <c r="B12" s="16" t="s">
        <v>51</v>
      </c>
      <c r="C12" s="17" t="s">
        <v>121</v>
      </c>
      <c r="D12" s="18" t="n">
        <f aca="false">SUM(E12:O12)</f>
        <v>9379.86</v>
      </c>
      <c r="E12" s="18" t="n">
        <f aca="false">SUM(E11:E11)</f>
        <v>0</v>
      </c>
      <c r="F12" s="18" t="n">
        <f aca="false">SUM(F11:F11)</f>
        <v>0</v>
      </c>
      <c r="G12" s="18" t="n">
        <f aca="false">SUM(G11:G11)</f>
        <v>0</v>
      </c>
      <c r="H12" s="18" t="n">
        <f aca="false">SUM(H11:H11)</f>
        <v>0</v>
      </c>
      <c r="I12" s="18" t="n">
        <f aca="false">SUM(I11:I11)</f>
        <v>0</v>
      </c>
      <c r="J12" s="18" t="n">
        <f aca="false">SUM(J11:J11)</f>
        <v>0</v>
      </c>
      <c r="K12" s="18" t="n">
        <f aca="false">SUM(K11:K11)</f>
        <v>325.57</v>
      </c>
      <c r="L12" s="18" t="n">
        <f aca="false">SUM(L11:L11)</f>
        <v>3358.76</v>
      </c>
      <c r="M12" s="18" t="n">
        <f aca="false">SUM(M11:M11)</f>
        <v>3366.77</v>
      </c>
      <c r="N12" s="18" t="n">
        <f aca="false">SUM(N11:N11)</f>
        <v>2328.76</v>
      </c>
      <c r="O12" s="18" t="n">
        <f aca="false">SUM(O11:O11)</f>
        <v>0</v>
      </c>
    </row>
    <row r="14" customFormat="false" ht="15" hidden="false" customHeight="false" outlineLevel="0" collapsed="false">
      <c r="A14" s="19" t="s">
        <v>53</v>
      </c>
      <c r="B14" s="19"/>
      <c r="C14" s="19"/>
      <c r="D14" s="20" t="n">
        <f aca="false">SUM(E14:O14)</f>
        <v>59475.56</v>
      </c>
      <c r="E14" s="20" t="n">
        <f aca="false">E6+E9+E12</f>
        <v>24.56</v>
      </c>
      <c r="F14" s="20" t="n">
        <f aca="false">F6+F9+F12</f>
        <v>1952.99</v>
      </c>
      <c r="G14" s="20" t="n">
        <f aca="false">G6+G9+G12</f>
        <v>6160.01</v>
      </c>
      <c r="H14" s="20" t="n">
        <f aca="false">H6+H9+H12</f>
        <v>7533.73</v>
      </c>
      <c r="I14" s="20" t="n">
        <f aca="false">I6+I9+I12</f>
        <v>7311.85</v>
      </c>
      <c r="J14" s="20" t="n">
        <f aca="false">J6+J9+J12</f>
        <v>6114.96</v>
      </c>
      <c r="K14" s="20" t="n">
        <f aca="false">K6+K9+K12</f>
        <v>6008.88</v>
      </c>
      <c r="L14" s="20" t="n">
        <f aca="false">L6+L9+L12</f>
        <v>8739.75</v>
      </c>
      <c r="M14" s="20" t="n">
        <f aca="false">M6+M9+M12</f>
        <v>8840.3</v>
      </c>
      <c r="N14" s="20" t="n">
        <f aca="false">N6+N9+N12</f>
        <v>6788.53</v>
      </c>
      <c r="O14" s="20" t="n">
        <f aca="false">O6+O9+O12</f>
        <v>0</v>
      </c>
    </row>
    <row r="16" customFormat="false" ht="15" hidden="false" customHeight="false" outlineLevel="0" collapsed="false">
      <c r="A16" s="23" t="s">
        <v>63</v>
      </c>
      <c r="B16" s="24" t="s">
        <v>57</v>
      </c>
      <c r="C16" s="25" t="s">
        <v>10</v>
      </c>
      <c r="D16" s="26" t="n">
        <f aca="false">SUM(E16:O16)</f>
        <v>23757.1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5484.86</v>
      </c>
      <c r="J16" s="26" t="n">
        <v>7932.17</v>
      </c>
      <c r="K16" s="26" t="n">
        <v>4784.86</v>
      </c>
      <c r="L16" s="26" t="n">
        <v>5408.67</v>
      </c>
      <c r="M16" s="26" t="n">
        <v>146.54</v>
      </c>
      <c r="N16" s="26" t="n">
        <v>0</v>
      </c>
      <c r="O16" s="26" t="n">
        <v>0</v>
      </c>
    </row>
    <row r="17" customFormat="false" ht="15" hidden="false" customHeight="false" outlineLevel="0" collapsed="false">
      <c r="A17" s="23"/>
      <c r="B17" s="27" t="s">
        <v>57</v>
      </c>
      <c r="C17" s="28" t="s">
        <v>64</v>
      </c>
      <c r="D17" s="29" t="n">
        <f aca="false">SUM(E17:O17)</f>
        <v>23757.1</v>
      </c>
      <c r="E17" s="29" t="n">
        <f aca="false">SUM(E16:E16)</f>
        <v>0</v>
      </c>
      <c r="F17" s="29" t="n">
        <f aca="false">SUM(F16:F16)</f>
        <v>0</v>
      </c>
      <c r="G17" s="29" t="n">
        <f aca="false">SUM(G16:G16)</f>
        <v>0</v>
      </c>
      <c r="H17" s="29" t="n">
        <f aca="false">SUM(H16:H16)</f>
        <v>0</v>
      </c>
      <c r="I17" s="29" t="n">
        <f aca="false">SUM(I16:I16)</f>
        <v>5484.86</v>
      </c>
      <c r="J17" s="29" t="n">
        <f aca="false">SUM(J16:J16)</f>
        <v>7932.17</v>
      </c>
      <c r="K17" s="29" t="n">
        <f aca="false">SUM(K16:K16)</f>
        <v>4784.86</v>
      </c>
      <c r="L17" s="29" t="n">
        <f aca="false">SUM(L16:L16)</f>
        <v>5408.67</v>
      </c>
      <c r="M17" s="29" t="n">
        <f aca="false">SUM(M16:M16)</f>
        <v>146.54</v>
      </c>
      <c r="N17" s="29" t="n">
        <f aca="false">SUM(N16:N16)</f>
        <v>0</v>
      </c>
      <c r="O17" s="29" t="n">
        <f aca="false">SUM(O16:O16)</f>
        <v>0</v>
      </c>
    </row>
    <row r="19" customFormat="false" ht="15" hidden="false" customHeight="false" outlineLevel="0" collapsed="false">
      <c r="A19" s="23" t="s">
        <v>122</v>
      </c>
      <c r="B19" s="24" t="s">
        <v>57</v>
      </c>
      <c r="C19" s="25" t="s">
        <v>9</v>
      </c>
      <c r="D19" s="26" t="n">
        <f aca="false">SUM(E19:O19)</f>
        <v>10200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9522.03</v>
      </c>
      <c r="O19" s="26" t="n">
        <v>677.97</v>
      </c>
    </row>
    <row r="20" customFormat="false" ht="15" hidden="false" customHeight="false" outlineLevel="0" collapsed="false">
      <c r="A20" s="23"/>
      <c r="B20" s="24" t="s">
        <v>57</v>
      </c>
      <c r="C20" s="25" t="s">
        <v>10</v>
      </c>
      <c r="D20" s="26" t="n">
        <f aca="false">SUM(E20:O20)</f>
        <v>11900.14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2718</v>
      </c>
      <c r="L20" s="26" t="n">
        <v>3436.98</v>
      </c>
      <c r="M20" s="26" t="n">
        <v>3512.84</v>
      </c>
      <c r="N20" s="26" t="n">
        <v>2232.32</v>
      </c>
      <c r="O20" s="26" t="n">
        <v>0</v>
      </c>
    </row>
    <row r="21" customFormat="false" ht="15" hidden="false" customHeight="false" outlineLevel="0" collapsed="false">
      <c r="A21" s="23"/>
      <c r="B21" s="27" t="s">
        <v>57</v>
      </c>
      <c r="C21" s="28" t="s">
        <v>123</v>
      </c>
      <c r="D21" s="29" t="n">
        <f aca="false">SUM(E21:O21)</f>
        <v>22100.14</v>
      </c>
      <c r="E21" s="29" t="n">
        <f aca="false">SUM(E19:E20)</f>
        <v>0</v>
      </c>
      <c r="F21" s="29" t="n">
        <f aca="false">SUM(F19:F20)</f>
        <v>0</v>
      </c>
      <c r="G21" s="29" t="n">
        <f aca="false">SUM(G19:G20)</f>
        <v>0</v>
      </c>
      <c r="H21" s="29" t="n">
        <f aca="false">SUM(H19:H20)</f>
        <v>0</v>
      </c>
      <c r="I21" s="29" t="n">
        <f aca="false">SUM(I19:I20)</f>
        <v>0</v>
      </c>
      <c r="J21" s="29" t="n">
        <f aca="false">SUM(J19:J20)</f>
        <v>0</v>
      </c>
      <c r="K21" s="29" t="n">
        <f aca="false">SUM(K19:K20)</f>
        <v>2718</v>
      </c>
      <c r="L21" s="29" t="n">
        <f aca="false">SUM(L19:L20)</f>
        <v>3436.98</v>
      </c>
      <c r="M21" s="29" t="n">
        <f aca="false">SUM(M19:M20)</f>
        <v>3512.84</v>
      </c>
      <c r="N21" s="29" t="n">
        <f aca="false">SUM(N19:N20)</f>
        <v>11754.35</v>
      </c>
      <c r="O21" s="29" t="n">
        <f aca="false">SUM(O19:O20)</f>
        <v>677.97</v>
      </c>
    </row>
    <row r="23" customFormat="false" ht="15" hidden="false" customHeight="false" outlineLevel="0" collapsed="false">
      <c r="A23" s="30" t="s">
        <v>61</v>
      </c>
      <c r="B23" s="30"/>
      <c r="C23" s="30"/>
      <c r="D23" s="31" t="n">
        <f aca="false">SUM(E23:O23)</f>
        <v>45857.24</v>
      </c>
      <c r="E23" s="31" t="n">
        <f aca="false">E17+E21</f>
        <v>0</v>
      </c>
      <c r="F23" s="31" t="n">
        <f aca="false">F17+F21</f>
        <v>0</v>
      </c>
      <c r="G23" s="31" t="n">
        <f aca="false">G17+G21</f>
        <v>0</v>
      </c>
      <c r="H23" s="31" t="n">
        <f aca="false">H17+H21</f>
        <v>0</v>
      </c>
      <c r="I23" s="31" t="n">
        <f aca="false">I17+I21</f>
        <v>5484.86</v>
      </c>
      <c r="J23" s="31" t="n">
        <f aca="false">J17+J21</f>
        <v>7932.17</v>
      </c>
      <c r="K23" s="31" t="n">
        <f aca="false">K17+K21</f>
        <v>7502.86</v>
      </c>
      <c r="L23" s="31" t="n">
        <f aca="false">L17+L21</f>
        <v>8845.65</v>
      </c>
      <c r="M23" s="31" t="n">
        <f aca="false">M17+M21</f>
        <v>3659.38</v>
      </c>
      <c r="N23" s="31" t="n">
        <f aca="false">N17+N21</f>
        <v>11754.35</v>
      </c>
      <c r="O23" s="31" t="n">
        <f aca="false">O17+O21</f>
        <v>677.97</v>
      </c>
    </row>
    <row r="25" customFormat="false" ht="15" hidden="false" customHeight="false" outlineLevel="0" collapsed="false">
      <c r="A25" s="21" t="s">
        <v>54</v>
      </c>
      <c r="B25" s="21"/>
      <c r="C25" s="21"/>
      <c r="D25" s="22" t="n">
        <f aca="false">SUM(E25:O25)</f>
        <v>105332.8</v>
      </c>
      <c r="E25" s="22" t="n">
        <f aca="false">E14+E23</f>
        <v>24.56</v>
      </c>
      <c r="F25" s="22" t="n">
        <f aca="false">F14+F23</f>
        <v>1952.99</v>
      </c>
      <c r="G25" s="22" t="n">
        <f aca="false">G14+G23</f>
        <v>6160.01</v>
      </c>
      <c r="H25" s="22" t="n">
        <f aca="false">H14+H23</f>
        <v>7533.73</v>
      </c>
      <c r="I25" s="22" t="n">
        <f aca="false">I14+I23</f>
        <v>12796.71</v>
      </c>
      <c r="J25" s="22" t="n">
        <f aca="false">J14+J23</f>
        <v>14047.13</v>
      </c>
      <c r="K25" s="22" t="n">
        <f aca="false">K14+K23</f>
        <v>13511.74</v>
      </c>
      <c r="L25" s="22" t="n">
        <f aca="false">L14+L23</f>
        <v>17585.4</v>
      </c>
      <c r="M25" s="22" t="n">
        <f aca="false">M14+M23</f>
        <v>12499.68</v>
      </c>
      <c r="N25" s="22" t="n">
        <f aca="false">N14+N23</f>
        <v>18542.88</v>
      </c>
      <c r="O25" s="22" t="n">
        <f aca="false">O14+O23</f>
        <v>677.97</v>
      </c>
    </row>
    <row r="27" customFormat="false" ht="15" hidden="false" customHeight="false" outlineLevel="0" collapsed="false">
      <c r="A27" s="10" t="s">
        <v>35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</sheetData>
  <mergeCells count="10">
    <mergeCell ref="A1:O2"/>
    <mergeCell ref="A4:A6"/>
    <mergeCell ref="A8:A9"/>
    <mergeCell ref="A11:A12"/>
    <mergeCell ref="A14:C14"/>
    <mergeCell ref="A16:A17"/>
    <mergeCell ref="A19:A21"/>
    <mergeCell ref="A23:C23"/>
    <mergeCell ref="A25:C25"/>
    <mergeCell ref="A27:O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15" min="5" style="0" width="12"/>
  </cols>
  <sheetData>
    <row r="1" customFormat="false" ht="33.7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30" hidden="false" customHeight="true" outlineLevel="0" collapsed="false">
      <c r="A3" s="11" t="s">
        <v>37</v>
      </c>
      <c r="B3" s="11" t="s">
        <v>38</v>
      </c>
      <c r="C3" s="11" t="s">
        <v>2</v>
      </c>
      <c r="D3" s="11" t="s">
        <v>3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 t="s">
        <v>48</v>
      </c>
      <c r="O3" s="11" t="s">
        <v>49</v>
      </c>
    </row>
    <row r="4" customFormat="false" ht="15" hidden="false" customHeight="false" outlineLevel="0" collapsed="false">
      <c r="A4" s="12" t="s">
        <v>50</v>
      </c>
      <c r="B4" s="13" t="s">
        <v>51</v>
      </c>
      <c r="C4" s="14" t="s">
        <v>9</v>
      </c>
      <c r="D4" s="15" t="n">
        <f aca="false">SUM(E4:O4)</f>
        <v>31071.71</v>
      </c>
      <c r="E4" s="15" t="n">
        <v>0</v>
      </c>
      <c r="F4" s="15" t="n">
        <v>2174.82</v>
      </c>
      <c r="G4" s="15" t="n">
        <v>3268.27</v>
      </c>
      <c r="H4" s="15" t="n">
        <v>3568.13</v>
      </c>
      <c r="I4" s="15" t="n">
        <v>3963.81</v>
      </c>
      <c r="J4" s="15" t="n">
        <v>3149.85</v>
      </c>
      <c r="K4" s="15" t="n">
        <v>3801.33</v>
      </c>
      <c r="L4" s="15" t="n">
        <v>3682.8</v>
      </c>
      <c r="M4" s="15" t="n">
        <v>4076.2</v>
      </c>
      <c r="N4" s="15" t="n">
        <v>3386.5</v>
      </c>
      <c r="O4" s="15" t="n">
        <v>0</v>
      </c>
    </row>
    <row r="5" customFormat="false" ht="15" hidden="false" customHeight="false" outlineLevel="0" collapsed="false">
      <c r="A5" s="12"/>
      <c r="B5" s="13" t="s">
        <v>51</v>
      </c>
      <c r="C5" s="14" t="s">
        <v>10</v>
      </c>
      <c r="D5" s="15" t="n">
        <f aca="false">SUM(E5:O5)</f>
        <v>3351.5</v>
      </c>
      <c r="E5" s="15" t="n">
        <v>19.62</v>
      </c>
      <c r="F5" s="15" t="n">
        <v>311.48</v>
      </c>
      <c r="G5" s="15" t="n">
        <v>368.2</v>
      </c>
      <c r="H5" s="15" t="n">
        <v>393.64</v>
      </c>
      <c r="I5" s="15" t="n">
        <v>415.22</v>
      </c>
      <c r="J5" s="15" t="n">
        <v>390.31</v>
      </c>
      <c r="K5" s="15" t="n">
        <v>376.64</v>
      </c>
      <c r="L5" s="15" t="n">
        <v>383.83</v>
      </c>
      <c r="M5" s="15" t="n">
        <v>383.65</v>
      </c>
      <c r="N5" s="15" t="n">
        <v>308.91</v>
      </c>
      <c r="O5" s="15" t="n">
        <v>0</v>
      </c>
    </row>
    <row r="6" customFormat="false" ht="15" hidden="false" customHeight="false" outlineLevel="0" collapsed="false">
      <c r="A6" s="12"/>
      <c r="B6" s="16" t="s">
        <v>51</v>
      </c>
      <c r="C6" s="17" t="s">
        <v>52</v>
      </c>
      <c r="D6" s="18" t="n">
        <f aca="false">SUM(E6:O6)</f>
        <v>34423.21</v>
      </c>
      <c r="E6" s="18" t="n">
        <f aca="false">SUM(E4:E5)</f>
        <v>19.62</v>
      </c>
      <c r="F6" s="18" t="n">
        <f aca="false">SUM(F4:F5)</f>
        <v>2486.3</v>
      </c>
      <c r="G6" s="18" t="n">
        <f aca="false">SUM(G4:G5)</f>
        <v>3636.47</v>
      </c>
      <c r="H6" s="18" t="n">
        <f aca="false">SUM(H4:H5)</f>
        <v>3961.77</v>
      </c>
      <c r="I6" s="18" t="n">
        <f aca="false">SUM(I4:I5)</f>
        <v>4379.03</v>
      </c>
      <c r="J6" s="18" t="n">
        <f aca="false">SUM(J4:J5)</f>
        <v>3540.16</v>
      </c>
      <c r="K6" s="18" t="n">
        <f aca="false">SUM(K4:K5)</f>
        <v>4177.97</v>
      </c>
      <c r="L6" s="18" t="n">
        <f aca="false">SUM(L4:L5)</f>
        <v>4066.63</v>
      </c>
      <c r="M6" s="18" t="n">
        <f aca="false">SUM(M4:M5)</f>
        <v>4459.85</v>
      </c>
      <c r="N6" s="18" t="n">
        <f aca="false">SUM(N4:N5)</f>
        <v>3695.41</v>
      </c>
      <c r="O6" s="18" t="n">
        <f aca="false">SUM(O4:O5)</f>
        <v>0</v>
      </c>
    </row>
    <row r="8" customFormat="false" ht="15" hidden="false" customHeight="false" outlineLevel="0" collapsed="false">
      <c r="A8" s="12" t="s">
        <v>125</v>
      </c>
      <c r="B8" s="13" t="s">
        <v>51</v>
      </c>
      <c r="C8" s="14" t="s">
        <v>9</v>
      </c>
      <c r="D8" s="15" t="n">
        <f aca="false">SUM(E8:O8)</f>
        <v>3807.96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1677.37</v>
      </c>
      <c r="M8" s="15" t="n">
        <v>1147.04</v>
      </c>
      <c r="N8" s="15" t="n">
        <v>983.55</v>
      </c>
      <c r="O8" s="15" t="n">
        <v>0</v>
      </c>
    </row>
    <row r="9" customFormat="false" ht="15" hidden="false" customHeight="false" outlineLevel="0" collapsed="false">
      <c r="A9" s="12"/>
      <c r="B9" s="13" t="s">
        <v>51</v>
      </c>
      <c r="C9" s="14" t="s">
        <v>10</v>
      </c>
      <c r="D9" s="15" t="n">
        <f aca="false">SUM(E9:O9)</f>
        <v>7527.17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1469.85</v>
      </c>
      <c r="K9" s="15" t="n">
        <v>1645.77</v>
      </c>
      <c r="L9" s="15" t="n">
        <v>1623.44</v>
      </c>
      <c r="M9" s="15" t="n">
        <v>1619.56</v>
      </c>
      <c r="N9" s="15" t="n">
        <v>1168.55</v>
      </c>
      <c r="O9" s="15" t="n">
        <v>0</v>
      </c>
    </row>
    <row r="10" customFormat="false" ht="15" hidden="false" customHeight="false" outlineLevel="0" collapsed="false">
      <c r="A10" s="12"/>
      <c r="B10" s="16" t="s">
        <v>51</v>
      </c>
      <c r="C10" s="17" t="s">
        <v>126</v>
      </c>
      <c r="D10" s="18" t="n">
        <f aca="false">SUM(E10:O10)</f>
        <v>11335.13</v>
      </c>
      <c r="E10" s="18" t="n">
        <f aca="false">SUM(E8:E9)</f>
        <v>0</v>
      </c>
      <c r="F10" s="18" t="n">
        <f aca="false">SUM(F8:F9)</f>
        <v>0</v>
      </c>
      <c r="G10" s="18" t="n">
        <f aca="false">SUM(G8:G9)</f>
        <v>0</v>
      </c>
      <c r="H10" s="18" t="n">
        <f aca="false">SUM(H8:H9)</f>
        <v>0</v>
      </c>
      <c r="I10" s="18" t="n">
        <f aca="false">SUM(I8:I9)</f>
        <v>0</v>
      </c>
      <c r="J10" s="18" t="n">
        <f aca="false">SUM(J8:J9)</f>
        <v>1469.85</v>
      </c>
      <c r="K10" s="18" t="n">
        <f aca="false">SUM(K8:K9)</f>
        <v>1645.77</v>
      </c>
      <c r="L10" s="18" t="n">
        <f aca="false">SUM(L8:L9)</f>
        <v>3300.81</v>
      </c>
      <c r="M10" s="18" t="n">
        <f aca="false">SUM(M8:M9)</f>
        <v>2766.6</v>
      </c>
      <c r="N10" s="18" t="n">
        <f aca="false">SUM(N8:N9)</f>
        <v>2152.1</v>
      </c>
      <c r="O10" s="18" t="n">
        <f aca="false">SUM(O8:O9)</f>
        <v>0</v>
      </c>
    </row>
    <row r="12" customFormat="false" ht="15" hidden="false" customHeight="false" outlineLevel="0" collapsed="false">
      <c r="A12" s="19" t="s">
        <v>53</v>
      </c>
      <c r="B12" s="19"/>
      <c r="C12" s="19"/>
      <c r="D12" s="20" t="n">
        <f aca="false">SUM(E12:O12)</f>
        <v>45758.34</v>
      </c>
      <c r="E12" s="20" t="n">
        <f aca="false">E6+E10</f>
        <v>19.62</v>
      </c>
      <c r="F12" s="20" t="n">
        <f aca="false">F6+F10</f>
        <v>2486.3</v>
      </c>
      <c r="G12" s="20" t="n">
        <f aca="false">G6+G10</f>
        <v>3636.47</v>
      </c>
      <c r="H12" s="20" t="n">
        <f aca="false">H6+H10</f>
        <v>3961.77</v>
      </c>
      <c r="I12" s="20" t="n">
        <f aca="false">I6+I10</f>
        <v>4379.03</v>
      </c>
      <c r="J12" s="20" t="n">
        <f aca="false">J6+J10</f>
        <v>5010.01</v>
      </c>
      <c r="K12" s="20" t="n">
        <f aca="false">K6+K10</f>
        <v>5823.74</v>
      </c>
      <c r="L12" s="20" t="n">
        <f aca="false">L6+L10</f>
        <v>7367.44</v>
      </c>
      <c r="M12" s="20" t="n">
        <f aca="false">M6+M10</f>
        <v>7226.45</v>
      </c>
      <c r="N12" s="20" t="n">
        <f aca="false">N6+N10</f>
        <v>5847.51</v>
      </c>
      <c r="O12" s="20" t="n">
        <f aca="false">O6+O10</f>
        <v>0</v>
      </c>
    </row>
    <row r="14" customFormat="false" ht="15" hidden="false" customHeight="false" outlineLevel="0" collapsed="false">
      <c r="A14" s="23" t="s">
        <v>63</v>
      </c>
      <c r="B14" s="24" t="s">
        <v>57</v>
      </c>
      <c r="C14" s="25" t="s">
        <v>9</v>
      </c>
      <c r="D14" s="26" t="n">
        <f aca="false">SUM(E14:O14)</f>
        <v>3069.41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1000.35</v>
      </c>
      <c r="J14" s="26" t="n">
        <v>1005.9</v>
      </c>
      <c r="K14" s="26" t="n">
        <v>695.58</v>
      </c>
      <c r="L14" s="26" t="n">
        <v>367.58</v>
      </c>
      <c r="M14" s="26" t="n">
        <v>0</v>
      </c>
      <c r="N14" s="26" t="n">
        <v>0</v>
      </c>
      <c r="O14" s="26" t="n">
        <v>0</v>
      </c>
    </row>
    <row r="15" customFormat="false" ht="15" hidden="false" customHeight="false" outlineLevel="0" collapsed="false">
      <c r="A15" s="23"/>
      <c r="B15" s="24" t="s">
        <v>57</v>
      </c>
      <c r="C15" s="25" t="s">
        <v>10</v>
      </c>
      <c r="D15" s="26" t="n">
        <f aca="false">SUM(E15:O15)</f>
        <v>23974.42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5535.42</v>
      </c>
      <c r="J15" s="26" t="n">
        <v>8005.19</v>
      </c>
      <c r="K15" s="26" t="n">
        <v>4828.85</v>
      </c>
      <c r="L15" s="26" t="n">
        <v>5458.44</v>
      </c>
      <c r="M15" s="26" t="n">
        <v>146.52</v>
      </c>
      <c r="N15" s="26" t="n">
        <v>0</v>
      </c>
      <c r="O15" s="26" t="n">
        <v>0</v>
      </c>
    </row>
    <row r="16" customFormat="false" ht="15" hidden="false" customHeight="false" outlineLevel="0" collapsed="false">
      <c r="A16" s="23"/>
      <c r="B16" s="27" t="s">
        <v>57</v>
      </c>
      <c r="C16" s="28" t="s">
        <v>64</v>
      </c>
      <c r="D16" s="29" t="n">
        <f aca="false">SUM(E16:O16)</f>
        <v>27043.83</v>
      </c>
      <c r="E16" s="29" t="n">
        <f aca="false">SUM(E14:E15)</f>
        <v>0</v>
      </c>
      <c r="F16" s="29" t="n">
        <f aca="false">SUM(F14:F15)</f>
        <v>0</v>
      </c>
      <c r="G16" s="29" t="n">
        <f aca="false">SUM(G14:G15)</f>
        <v>0</v>
      </c>
      <c r="H16" s="29" t="n">
        <f aca="false">SUM(H14:H15)</f>
        <v>0</v>
      </c>
      <c r="I16" s="29" t="n">
        <f aca="false">SUM(I14:I15)</f>
        <v>6535.77</v>
      </c>
      <c r="J16" s="29" t="n">
        <f aca="false">SUM(J14:J15)</f>
        <v>9011.09</v>
      </c>
      <c r="K16" s="29" t="n">
        <f aca="false">SUM(K14:K15)</f>
        <v>5524.43</v>
      </c>
      <c r="L16" s="29" t="n">
        <f aca="false">SUM(L14:L15)</f>
        <v>5826.02</v>
      </c>
      <c r="M16" s="29" t="n">
        <f aca="false">SUM(M14:M15)</f>
        <v>146.52</v>
      </c>
      <c r="N16" s="29" t="n">
        <f aca="false">SUM(N14:N15)</f>
        <v>0</v>
      </c>
      <c r="O16" s="29" t="n">
        <f aca="false">SUM(O14:O15)</f>
        <v>0</v>
      </c>
    </row>
    <row r="18" customFormat="false" ht="15" hidden="false" customHeight="false" outlineLevel="0" collapsed="false">
      <c r="A18" s="30" t="s">
        <v>61</v>
      </c>
      <c r="B18" s="30"/>
      <c r="C18" s="30"/>
      <c r="D18" s="31" t="n">
        <f aca="false">SUM(E18:O18)</f>
        <v>27043.83</v>
      </c>
      <c r="E18" s="31" t="n">
        <f aca="false">E16</f>
        <v>0</v>
      </c>
      <c r="F18" s="31" t="n">
        <f aca="false">F16</f>
        <v>0</v>
      </c>
      <c r="G18" s="31" t="n">
        <f aca="false">G16</f>
        <v>0</v>
      </c>
      <c r="H18" s="31" t="n">
        <f aca="false">H16</f>
        <v>0</v>
      </c>
      <c r="I18" s="31" t="n">
        <f aca="false">I16</f>
        <v>6535.77</v>
      </c>
      <c r="J18" s="31" t="n">
        <f aca="false">J16</f>
        <v>9011.09</v>
      </c>
      <c r="K18" s="31" t="n">
        <f aca="false">K16</f>
        <v>5524.43</v>
      </c>
      <c r="L18" s="31" t="n">
        <f aca="false">L16</f>
        <v>5826.02</v>
      </c>
      <c r="M18" s="31" t="n">
        <f aca="false">M16</f>
        <v>146.52</v>
      </c>
      <c r="N18" s="31" t="n">
        <f aca="false">N16</f>
        <v>0</v>
      </c>
      <c r="O18" s="31" t="n">
        <f aca="false">O16</f>
        <v>0</v>
      </c>
    </row>
    <row r="20" customFormat="false" ht="15" hidden="false" customHeight="false" outlineLevel="0" collapsed="false">
      <c r="A20" s="21" t="s">
        <v>54</v>
      </c>
      <c r="B20" s="21"/>
      <c r="C20" s="21"/>
      <c r="D20" s="22" t="n">
        <f aca="false">SUM(E20:O20)</f>
        <v>72802.17</v>
      </c>
      <c r="E20" s="22" t="n">
        <f aca="false">E12+E18</f>
        <v>19.62</v>
      </c>
      <c r="F20" s="22" t="n">
        <f aca="false">F12+F18</f>
        <v>2486.3</v>
      </c>
      <c r="G20" s="22" t="n">
        <f aca="false">G12+G18</f>
        <v>3636.47</v>
      </c>
      <c r="H20" s="22" t="n">
        <f aca="false">H12+H18</f>
        <v>3961.77</v>
      </c>
      <c r="I20" s="22" t="n">
        <f aca="false">I12+I18</f>
        <v>10914.8</v>
      </c>
      <c r="J20" s="22" t="n">
        <f aca="false">J12+J18</f>
        <v>14021.1</v>
      </c>
      <c r="K20" s="22" t="n">
        <f aca="false">K12+K18</f>
        <v>11348.17</v>
      </c>
      <c r="L20" s="22" t="n">
        <f aca="false">L12+L18</f>
        <v>13193.46</v>
      </c>
      <c r="M20" s="22" t="n">
        <f aca="false">M12+M18</f>
        <v>7372.97</v>
      </c>
      <c r="N20" s="22" t="n">
        <f aca="false">N12+N18</f>
        <v>5847.51</v>
      </c>
      <c r="O20" s="22" t="n">
        <f aca="false">O12+O18</f>
        <v>0</v>
      </c>
    </row>
    <row r="22" customFormat="false" ht="15" hidden="false" customHeight="false" outlineLevel="0" collapsed="false">
      <c r="A22" s="10" t="s">
        <v>35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</sheetData>
  <mergeCells count="8">
    <mergeCell ref="A1:O2"/>
    <mergeCell ref="A4:A6"/>
    <mergeCell ref="A8:A10"/>
    <mergeCell ref="A12:C12"/>
    <mergeCell ref="A14:A16"/>
    <mergeCell ref="A18:C18"/>
    <mergeCell ref="A20:C20"/>
    <mergeCell ref="A22:O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2026-08-12T20:44:18Z</dcterms:created>
  <dc:creator>openpyxl</dc:creator>
  <dc:description/>
  <dc:language>en-US</dc:language>
  <cp:lastModifiedBy/>
  <dcterms:modified xsi:type="dcterms:W3CDTF">2026-08-12T20:44:19Z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